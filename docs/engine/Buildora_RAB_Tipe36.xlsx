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kap" sheetId="1" state="visible" r:id="rId3"/>
    <sheet name="RAB Swakelola" sheetId="2" state="visible" r:id="rId4"/>
    <sheet name="RAB Borongan" sheetId="3" state="visible" r:id="rId5"/>
    <sheet name="Kontrol Harga" sheetId="4" state="visible" r:id="rId6"/>
    <sheet name="Perhitungan Bahan" sheetId="5" state="visible" r:id="rId7"/>
    <sheet name="Perhitungan Upah" sheetId="6" state="visible" r:id="rId8"/>
    <sheet name="AHSP" sheetId="7" state="visible" r:id="rId9"/>
    <sheet name="Kurva-S" sheetId="8" state="visible" r:id="rId10"/>
    <sheet name="Volume" sheetId="9" state="visible" r:id="rId11"/>
    <sheet name="Parameter" sheetId="10" state="visible" r:id="rId12"/>
  </sheets>
  <definedNames>
    <definedName function="false" hidden="false" localSheetId="6" name="_xlnm.Print_Titles" vbProcedure="false">AHSP!$4:$4</definedName>
    <definedName function="false" hidden="false" localSheetId="3" name="_xlnm.Print_Titles" vbProcedure="false">'Kontrol Harga'!$4:$4</definedName>
    <definedName function="false" hidden="false" localSheetId="7" name="_xlnm.Print_Titles" vbProcedure="false">'Kurva-S'!$5:$5</definedName>
    <definedName function="false" hidden="false" localSheetId="9" name="_xlnm.Print_Titles" vbProcedure="false">Parameter!$3:$3</definedName>
    <definedName function="false" hidden="false" localSheetId="4" name="_xlnm.Print_Titles" vbProcedure="false">'Perhitungan Bahan'!$4:$4</definedName>
    <definedName function="false" hidden="false" localSheetId="5" name="_xlnm.Print_Titles" vbProcedure="false">'Perhitungan Upah'!$4:$4</definedName>
    <definedName function="false" hidden="false" localSheetId="2" name="_xlnm.Print_Titles" vbProcedure="false">'RAB Borongan'!$4:$4</definedName>
    <definedName function="false" hidden="false" localSheetId="1" name="_xlnm.Print_Titles" vbProcedure="false">'RAB Swakelola'!$4:$4</definedName>
    <definedName function="false" hidden="false" localSheetId="0" name="_xlnm.Print_Titles" vbProcedure="false">Rekap!$4:$4</definedName>
    <definedName function="false" hidden="false" localSheetId="8" name="_xlnm.Print_Titles" vbProcedure="false">Volume!$4:$4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<sst xmlns="http://schemas.openxmlformats.org/spreadsheetml/2006/main" count="4257" uniqueCount="737">
  <si>
    <t xml:space="preserve">REKAP BIAYA MEMBANGUN RUMAH</t>
  </si>
  <si>
    <t xml:space="preserve">Tipe 36/72 · 1 lantai · 2 kamar tidur · 1 kamar mandi · paket Menengah · DKI Jakarta · harga Sep 2026</t>
  </si>
  <si>
    <t xml:space="preserve">DIKERJAKAN SENDIRI
(swakelola)</t>
  </si>
  <si>
    <t xml:space="preserve">PAKAI KONTRAKTOR
(borongan)</t>
  </si>
  <si>
    <t xml:space="preserve">TOTAL BIAYA</t>
  </si>
  <si>
    <t xml:space="preserve">Per m² bangunan (item standar)</t>
  </si>
  <si>
    <t xml:space="preserve">Perkiraan lama pengerjaan</t>
  </si>
  <si>
    <t xml:space="preserve">Yang Anda urus sendiri</t>
  </si>
  <si>
    <t xml:space="preserve">Beli bahan, cari &amp; awasi tukang</t>
  </si>
  <si>
    <t xml:space="preserve">Hanya mengawasi hasil</t>
  </si>
  <si>
    <t xml:space="preserve">RINCIAN</t>
  </si>
  <si>
    <t xml:space="preserve">Swakelola</t>
  </si>
  <si>
    <t xml:space="preserve">Borongan</t>
  </si>
  <si>
    <t xml:space="preserve">Penjelasan</t>
  </si>
  <si>
    <t xml:space="preserve">1. Bahan bangunan</t>
  </si>
  <si>
    <t xml:space="preserve">Sama untuk kedua cara — rincian di Perhitungan Bahan</t>
  </si>
  <si>
    <t xml:space="preserve">2. Pekerjaan terpasang dari toko/aplikator</t>
  </si>
  <si>
    <t xml:space="preserve">Baja ringan, kusen &amp; jendela aluminium, septictank, kanopi, pagar</t>
  </si>
  <si>
    <t xml:space="preserve">3. Upah tukang</t>
  </si>
  <si>
    <t xml:space="preserve">Sama untuk kedua cara — rincian di Perhitungan Upah</t>
  </si>
  <si>
    <t xml:space="preserve">4. Ongkos kirim bahan</t>
  </si>
  <si>
    <t xml:space="preserve">Swakelola: estimasi 3% bahan non-curah. Borongan: termasuk margin</t>
  </si>
  <si>
    <t xml:space="preserve">5. Margin kontraktor</t>
  </si>
  <si>
    <t xml:space="preserve">6. Dana cadangan</t>
  </si>
  <si>
    <t xml:space="preserve">Swakelola 10%, borongan 5%</t>
  </si>
  <si>
    <t xml:space="preserve">7. Pajak</t>
  </si>
  <si>
    <t xml:space="preserve">Swakelola: PPN KMS bila ≥ 200 m². Borongan: PPN bila kontraktor PKP</t>
  </si>
  <si>
    <t xml:space="preserve">TOTAL</t>
  </si>
  <si>
    <t xml:space="preserve">PER TAHAP PEKERJAAN</t>
  </si>
  <si>
    <t xml:space="preserve">Porsi (borongan)</t>
  </si>
  <si>
    <t xml:space="preserve">I. PERSIAPAN</t>
  </si>
  <si>
    <t xml:space="preserve">II. TANAH &amp; PONDASI</t>
  </si>
  <si>
    <t xml:space="preserve">III. STRUKTUR BETON</t>
  </si>
  <si>
    <t xml:space="preserve">IV. DINDING</t>
  </si>
  <si>
    <t xml:space="preserve">V. ATAP</t>
  </si>
  <si>
    <t xml:space="preserve">VI. PLAFON</t>
  </si>
  <si>
    <t xml:space="preserve">VII. LANTAI &amp; KERAMIK</t>
  </si>
  <si>
    <t xml:space="preserve">VIII. PINTU &amp; JENDELA</t>
  </si>
  <si>
    <t xml:space="preserve">IX. CAT</t>
  </si>
  <si>
    <t xml:space="preserve">X. SANITAIR &amp; PLUMBING</t>
  </si>
  <si>
    <t xml:space="preserve">XI. LISTRIK</t>
  </si>
  <si>
    <t xml:space="preserve">XII. DAPUR</t>
  </si>
  <si>
    <t xml:space="preserve">XIII. CARPORT, KANOPI &amp; PAGAR</t>
  </si>
  <si>
    <t xml:space="preserve">(sebelum ongkos kirim, cadangan &amp; pajak)</t>
  </si>
  <si>
    <t xml:space="preserve">HARGA PER m² (pekerjaan standar)</t>
  </si>
  <si>
    <t xml:space="preserve">Status (paket dipilih di Parameter)</t>
  </si>
  <si>
    <t xml:space="preserve">Per m² pekerjaan standar</t>
  </si>
  <si>
    <t xml:space="preserve">Rentang wajar pasar</t>
  </si>
  <si>
    <t xml:space="preserve">Upah per m² (setara borongan jasa)</t>
  </si>
  <si>
    <t xml:space="preserve">Hanya pekerjaan bangunan utama — tanpa toren, pompa, shower set, dapur, carport, kanopi, pagar, ongkos kirim, cadangan &amp; pajak. Rincian di sheet Kontrol Harga.</t>
  </si>
  <si>
    <t xml:space="preserve">CATATAN</t>
  </si>
  <si>
    <t xml:space="preserve">• Bahan dan upah dihitung sama untuk swakelola dan borongan; bedanya hanya margin kontraktor, ongkos kirim, dana cadangan, dan pajak.</t>
  </si>
  <si>
    <t xml:space="preserve">• Swakelola lebih murah, tetapi Anda yang membeli bahan, mencari tukang, dan mengawasi pekerjaan setiap hari.</t>
  </si>
  <si>
    <t xml:space="preserve">• Ubah harga bahan di Perhitungan Bahan dan upah harian di Perhitungan Upah — semua sheet ikut berubah.</t>
  </si>
  <si>
    <t xml:space="preserve">• Sumber data: survei toko online, Standar Harga Satuan pemerintah daerah, IHPB &amp; IKK BPS, arsip penawaran kontraktor, dan Indeks Biaya Bangun (bangun.com) — dipakai dengan menyebut sumber sesuai ketentuan bangun.com.</t>
  </si>
  <si>
    <t xml:space="preserve">CARA MEMBACA WARNA</t>
  </si>
  <si>
    <t xml:space="preserve">Rp 100.000</t>
  </si>
  <si>
    <t xml:space="preserve">Sel kuning, teks biru = boleh diubah (harga, upah, volume, koefisien)</t>
  </si>
  <si>
    <t xml:space="preserve">Teks hijau = diambil otomatis dari sheet lain</t>
  </si>
  <si>
    <t xml:space="preserve">Estimasi</t>
  </si>
  <si>
    <t xml:space="preserve">Harga belum bersumber — perkiraan</t>
  </si>
  <si>
    <t xml:space="preserve">Teks hitam = hasil rumus</t>
  </si>
  <si>
    <t xml:space="preserve">RAB SWAKELOLA — Tipe 36/72, 1 lantai, paket Menengah, DKI Jakarta (Sep 2026)</t>
  </si>
  <si>
    <t xml:space="preserve">Dikerjakan sendiri: bahan + upah (dari AHSP), tanpa margin kontraktor.</t>
  </si>
  <si>
    <t xml:space="preserve">No</t>
  </si>
  <si>
    <t xml:space="preserve">Pekerjaan</t>
  </si>
  <si>
    <t xml:space="preserve">Volume</t>
  </si>
  <si>
    <t xml:space="preserve">Sat</t>
  </si>
  <si>
    <t xml:space="preserve">Bahan / sat</t>
  </si>
  <si>
    <t xml:space="preserve">Upah / sat</t>
  </si>
  <si>
    <t xml:space="preserve">Harga satuan</t>
  </si>
  <si>
    <t xml:space="preserve">Jumlah bahan</t>
  </si>
  <si>
    <t xml:space="preserve">Jumlah upah</t>
  </si>
  <si>
    <t xml:space="preserve">JUMLAH HARGA</t>
  </si>
  <si>
    <t xml:space="preserve">Keterangan</t>
  </si>
  <si>
    <t xml:space="preserve">Referensi</t>
  </si>
  <si>
    <t xml:space="preserve">Tipe item</t>
  </si>
  <si>
    <t xml:space="preserve">I</t>
  </si>
  <si>
    <t xml:space="preserve">PERSIAPAN</t>
  </si>
  <si>
    <t xml:space="preserve">I.1</t>
  </si>
  <si>
    <t xml:space="preserve">Bouwplank &amp; pengukuran</t>
  </si>
  <si>
    <t xml:space="preserve">m²</t>
  </si>
  <si>
    <t xml:space="preserve">Harga acuan</t>
  </si>
  <si>
    <t xml:space="preserve">Standar</t>
  </si>
  <si>
    <t xml:space="preserve">I.2</t>
  </si>
  <si>
    <t xml:space="preserve">Pembersihan lahan</t>
  </si>
  <si>
    <t xml:space="preserve">ls</t>
  </si>
  <si>
    <t xml:space="preserve">I.3</t>
  </si>
  <si>
    <t xml:space="preserve">Air &amp; listrik kerja</t>
  </si>
  <si>
    <t xml:space="preserve">II</t>
  </si>
  <si>
    <t xml:space="preserve">TANAH &amp; PONDASI</t>
  </si>
  <si>
    <t xml:space="preserve">II.1</t>
  </si>
  <si>
    <t xml:space="preserve">Galian tanah pondasi</t>
  </si>
  <si>
    <t xml:space="preserve">m³</t>
  </si>
  <si>
    <t xml:space="preserve">II.2</t>
  </si>
  <si>
    <t xml:space="preserve">Urugan pasir bawah pondasi</t>
  </si>
  <si>
    <t xml:space="preserve">II.3</t>
  </si>
  <si>
    <t xml:space="preserve">Pasangan batu kali 1:4</t>
  </si>
  <si>
    <t xml:space="preserve">II.4</t>
  </si>
  <si>
    <t xml:space="preserve">Urugan tanah kembali</t>
  </si>
  <si>
    <t xml:space="preserve">II.5</t>
  </si>
  <si>
    <t xml:space="preserve">Urugan pasir bawah lantai</t>
  </si>
  <si>
    <t xml:space="preserve">II.6</t>
  </si>
  <si>
    <t xml:space="preserve">Rabat beton lantai kerja K-175</t>
  </si>
  <si>
    <t xml:space="preserve">III</t>
  </si>
  <si>
    <t xml:space="preserve">STRUKTUR BETON</t>
  </si>
  <si>
    <t xml:space="preserve">III.1</t>
  </si>
  <si>
    <t xml:space="preserve">Sloof 15×20 (4D10, Ø6-15)</t>
  </si>
  <si>
    <t xml:space="preserve">III.2</t>
  </si>
  <si>
    <t xml:space="preserve">Kolom 15×15 (4D10, Ø6-15)</t>
  </si>
  <si>
    <t xml:space="preserve">III.3</t>
  </si>
  <si>
    <t xml:space="preserve">Ring balok 12×15 (4D10, Ø6-15)</t>
  </si>
  <si>
    <t xml:space="preserve">III.4</t>
  </si>
  <si>
    <t xml:space="preserve">Balok latei 12×12 (4D8, Ø6-15)</t>
  </si>
  <si>
    <t xml:space="preserve">III.5</t>
  </si>
  <si>
    <t xml:space="preserve">Bingkai ampig 12×12 (4D8, Ø6-15)</t>
  </si>
  <si>
    <t xml:space="preserve">IV</t>
  </si>
  <si>
    <t xml:space="preserve">DINDING</t>
  </si>
  <si>
    <t xml:space="preserve">IV.1</t>
  </si>
  <si>
    <t xml:space="preserve">Pasangan bata ringan 10 cm</t>
  </si>
  <si>
    <t xml:space="preserve">IV.2</t>
  </si>
  <si>
    <t xml:space="preserve">Plesteran + acian</t>
  </si>
  <si>
    <t xml:space="preserve">V</t>
  </si>
  <si>
    <t xml:space="preserve">ATAP</t>
  </si>
  <si>
    <t xml:space="preserve">V.1</t>
  </si>
  <si>
    <t xml:space="preserve">Rangka atap baja ringan</t>
  </si>
  <si>
    <t xml:space="preserve">Terpasang (termasuk jasa pasang)</t>
  </si>
  <si>
    <t xml:space="preserve">V.2</t>
  </si>
  <si>
    <t xml:space="preserve">Genteng beton</t>
  </si>
  <si>
    <t xml:space="preserve">V.3</t>
  </si>
  <si>
    <t xml:space="preserve">Nok / bubungan</t>
  </si>
  <si>
    <t xml:space="preserve">m'</t>
  </si>
  <si>
    <t xml:space="preserve">V.4</t>
  </si>
  <si>
    <t xml:space="preserve">Lisplang GRC 20 cm</t>
  </si>
  <si>
    <t xml:space="preserve">VI</t>
  </si>
  <si>
    <t xml:space="preserve">PLAFON</t>
  </si>
  <si>
    <t xml:space="preserve">VI.1</t>
  </si>
  <si>
    <t xml:space="preserve">Plafon gypsum 9 mm + rangka hollow</t>
  </si>
  <si>
    <t xml:space="preserve">VII</t>
  </si>
  <si>
    <t xml:space="preserve">LANTAI &amp; KERAMIK</t>
  </si>
  <si>
    <t xml:space="preserve">VII.1</t>
  </si>
  <si>
    <t xml:space="preserve">Granit HT 60×60</t>
  </si>
  <si>
    <t xml:space="preserve">VII.2</t>
  </si>
  <si>
    <t xml:space="preserve">Plint granit (potongan 10 cm)</t>
  </si>
  <si>
    <t xml:space="preserve">VII.3</t>
  </si>
  <si>
    <t xml:space="preserve">Keramik lantai KM anti-slip</t>
  </si>
  <si>
    <t xml:space="preserve">VII.4</t>
  </si>
  <si>
    <t xml:space="preserve">Keramik dinding KM</t>
  </si>
  <si>
    <t xml:space="preserve">VII.5</t>
  </si>
  <si>
    <t xml:space="preserve">Keramik teras 40×40</t>
  </si>
  <si>
    <t xml:space="preserve">VIII</t>
  </si>
  <si>
    <t xml:space="preserve">PINTU &amp; JENDELA</t>
  </si>
  <si>
    <t xml:space="preserve">VIII.1</t>
  </si>
  <si>
    <t xml:space="preserve">Pintu utama aluminium + kusen + kunci</t>
  </si>
  <si>
    <t xml:space="preserve">unit</t>
  </si>
  <si>
    <t xml:space="preserve">VIII.2</t>
  </si>
  <si>
    <t xml:space="preserve">Pintu kamar HPL + kusen aluminium (2 kamar + belakang)</t>
  </si>
  <si>
    <t xml:space="preserve">VIII.3</t>
  </si>
  <si>
    <t xml:space="preserve">Pintu KM PVC</t>
  </si>
  <si>
    <t xml:space="preserve">VIII.4</t>
  </si>
  <si>
    <t xml:space="preserve">Jendela aluminium + kaca</t>
  </si>
  <si>
    <t xml:space="preserve">VIII.5</t>
  </si>
  <si>
    <t xml:space="preserve">Bovenlight KM kaca mati</t>
  </si>
  <si>
    <t xml:space="preserve">IX</t>
  </si>
  <si>
    <t xml:space="preserve">CAT</t>
  </si>
  <si>
    <t xml:space="preserve">IX.1</t>
  </si>
  <si>
    <t xml:space="preserve">Cat interior Catylac (dinding + plafon)</t>
  </si>
  <si>
    <t xml:space="preserve">IX.2</t>
  </si>
  <si>
    <t xml:space="preserve">Cat eksterior Weathershield</t>
  </si>
  <si>
    <t xml:space="preserve">X</t>
  </si>
  <si>
    <t xml:space="preserve">SANITAIR &amp; PLUMBING</t>
  </si>
  <si>
    <t xml:space="preserve">X.1</t>
  </si>
  <si>
    <t xml:space="preserve">Kloset duduk + jet shower</t>
  </si>
  <si>
    <t xml:space="preserve">X.2</t>
  </si>
  <si>
    <t xml:space="preserve">Shower set</t>
  </si>
  <si>
    <t xml:space="preserve">set</t>
  </si>
  <si>
    <t xml:space="preserve">Tambahan</t>
  </si>
  <si>
    <t xml:space="preserve">X.3</t>
  </si>
  <si>
    <t xml:space="preserve">Wastafel + kran</t>
  </si>
  <si>
    <t xml:space="preserve">X.4</t>
  </si>
  <si>
    <t xml:space="preserve">Floor drain</t>
  </si>
  <si>
    <t xml:space="preserve">buah</t>
  </si>
  <si>
    <t xml:space="preserve">X.5</t>
  </si>
  <si>
    <t xml:space="preserve">Kran air</t>
  </si>
  <si>
    <t xml:space="preserve">X.6</t>
  </si>
  <si>
    <t xml:space="preserve">Pipa PVC AW ½" air bersih</t>
  </si>
  <si>
    <t xml:space="preserve">X.7</t>
  </si>
  <si>
    <t xml:space="preserve">Pipa PVC D 3" air bekas</t>
  </si>
  <si>
    <t xml:space="preserve">X.8</t>
  </si>
  <si>
    <t xml:space="preserve">Pipa PVC D 4" air kotor</t>
  </si>
  <si>
    <t xml:space="preserve">X.9</t>
  </si>
  <si>
    <t xml:space="preserve">Toren 1.000 L</t>
  </si>
  <si>
    <t xml:space="preserve">X.10</t>
  </si>
  <si>
    <t xml:space="preserve">Pompa air 125 W</t>
  </si>
  <si>
    <t xml:space="preserve">X.11</t>
  </si>
  <si>
    <t xml:space="preserve">Septictank biofil 1.000 L</t>
  </si>
  <si>
    <t xml:space="preserve">XI</t>
  </si>
  <si>
    <t xml:space="preserve">LISTRIK</t>
  </si>
  <si>
    <t xml:space="preserve">XI.1</t>
  </si>
  <si>
    <t xml:space="preserve">Titik lampu + downlight</t>
  </si>
  <si>
    <t xml:space="preserve">titik</t>
  </si>
  <si>
    <t xml:space="preserve">XI.2</t>
  </si>
  <si>
    <t xml:space="preserve">Titik saklar / stop kontak</t>
  </si>
  <si>
    <t xml:space="preserve">XI.3</t>
  </si>
  <si>
    <t xml:space="preserve">Box MCB 6 grup + MCB</t>
  </si>
  <si>
    <t xml:space="preserve">XII</t>
  </si>
  <si>
    <t xml:space="preserve">DAPUR</t>
  </si>
  <si>
    <t xml:space="preserve">XII.1</t>
  </si>
  <si>
    <t xml:space="preserve">Meja dapur beton + sink + kran</t>
  </si>
  <si>
    <t xml:space="preserve">XIII</t>
  </si>
  <si>
    <t xml:space="preserve">CARPORT, KANOPI &amp; PAGAR</t>
  </si>
  <si>
    <t xml:space="preserve">XIII.1</t>
  </si>
  <si>
    <t xml:space="preserve">Carport beton bertulang 12 cm (D8-200)</t>
  </si>
  <si>
    <t xml:space="preserve">XIII.2</t>
  </si>
  <si>
    <t xml:space="preserve">Kanopi baja ringan + Alderon</t>
  </si>
  <si>
    <t xml:space="preserve">XIII.3</t>
  </si>
  <si>
    <t xml:space="preserve">Tembok pagar bawah (bata ringan, plester 2 sisi, cat)</t>
  </si>
  <si>
    <t xml:space="preserve">XIII.4</t>
  </si>
  <si>
    <t xml:space="preserve">Pagar besi hollow</t>
  </si>
  <si>
    <t xml:space="preserve">XIII.5</t>
  </si>
  <si>
    <t xml:space="preserve">Pintu pagar geser</t>
  </si>
  <si>
    <t xml:space="preserve">XIII.6</t>
  </si>
  <si>
    <t xml:space="preserve">Rel + roda pintu pagar</t>
  </si>
  <si>
    <t xml:space="preserve">JUMLAH PEKERJAAN</t>
  </si>
  <si>
    <t xml:space="preserve">Ongkos kirim &amp; bongkar bahan (estimasi)</t>
  </si>
  <si>
    <t xml:space="preserve">SUBTOTAL</t>
  </si>
  <si>
    <t xml:space="preserve">Dana cadangan (10%)</t>
  </si>
  <si>
    <t xml:space="preserve">PPN membangun sendiri 2,2% (hanya bila luas ≥ 200 m²)</t>
  </si>
  <si>
    <t xml:space="preserve">Dibulatkan</t>
  </si>
  <si>
    <t xml:space="preserve">RAB BORONGAN — Tipe 36/72, 1 lantai, paket Menengah, DKI Jakarta (Sep 2026)</t>
  </si>
  <si>
    <t xml:space="preserve">Dikerjakan kontraktor: bahan + upah (dari AHSP) + margin kontraktor.</t>
  </si>
  <si>
    <t xml:space="preserve">Margin / sat</t>
  </si>
  <si>
    <t xml:space="preserve">Jumlah margin</t>
  </si>
  <si>
    <t xml:space="preserve">Ongkos kirim bahan — sudah termasuk dalam margin kontraktor</t>
  </si>
  <si>
    <t xml:space="preserve">Dana cadangan (5%)</t>
  </si>
  <si>
    <t xml:space="preserve">PPN 11% (hanya bila kontraktor PKP — lihat Parameter)</t>
  </si>
  <si>
    <t xml:space="preserve">KONTROL HARGA PER m² — pekerjaan standar</t>
  </si>
  <si>
    <t xml:space="preserve">Harga per m² hanya menghitung pekerjaan standar bangunan utama, sama seperti cara kontraktor menawarkan 'harga per meter'. Pekerjaan tambahan, ongkos kirim, dana cadangan, dan pajak tidak ikut.</t>
  </si>
  <si>
    <t xml:space="preserve">Rentang harga pasar borongan (bahan + upah) per m² — Jabodetabek 2026</t>
  </si>
  <si>
    <t xml:space="preserve">Minimum</t>
  </si>
  <si>
    <t xml:space="preserve">Maksimum</t>
  </si>
  <si>
    <t xml:space="preserve">Dasar penetapan</t>
  </si>
  <si>
    <t xml:space="preserve">Sederhana</t>
  </si>
  <si>
    <t xml:space="preserve">Median batas bawah &amp; atas dari 10 artikel kontraktor/portal properti 2026: sobatbangun, tokban, superkos, PropNex, Akbar Konstruksi, Tricipta Karya, Dinasti Arsitek, caribisnis, indohomesarana (Jabodetabek), asiaarsitek</t>
  </si>
  <si>
    <t xml:space="preserve">Menengah</t>
  </si>
  <si>
    <t xml:space="preserve">Mewah</t>
  </si>
  <si>
    <t xml:space="preserve">Borongan jasa (upah + keuntungan mandor) per m² — semua kelas</t>
  </si>
  <si>
    <t xml:space="preserve">Median dari 5 kisaran 2026: caribisnis, indohomesarana, sobatbangun, asiaarsitek (1 lantai &amp; 2 lantai)</t>
  </si>
  <si>
    <t xml:space="preserve">Rentang dari artikel pasar (bukan data resmi) — dipakai sebagai rambu, bukan patokan pasti. Untuk luar Jabodetabek kalikan dengan faktor IKK daerah.</t>
  </si>
  <si>
    <t xml:space="preserve">Pemeriksaan</t>
  </si>
  <si>
    <t xml:space="preserve">Nilai per m²</t>
  </si>
  <si>
    <t xml:space="preserve">Rentang wajar</t>
  </si>
  <si>
    <t xml:space="preserve">Status</t>
  </si>
  <si>
    <t xml:space="preserve">Borongan — harga per m² pekerjaan standar</t>
  </si>
  <si>
    <t xml:space="preserve">Swakelola — biaya per m² pekerjaan standar</t>
  </si>
  <si>
    <t xml:space="preserve">Upah per m² pekerjaan standar + margin (setara borongan jasa)</t>
  </si>
  <si>
    <t xml:space="preserve">Masuk hitungan per m² (Standar)</t>
  </si>
  <si>
    <t xml:space="preserve">Tidak masuk hitungan per m² (Tambahan &amp; biaya lain)</t>
  </si>
  <si>
    <t xml:space="preserve">✓ Persiapan (bouwplank, pembersihan, air &amp; listrik kerja)</t>
  </si>
  <si>
    <t xml:space="preserve">✗ Toren air, pompa air, shower set</t>
  </si>
  <si>
    <t xml:space="preserve">✓ Tanah &amp; pondasi</t>
  </si>
  <si>
    <t xml:space="preserve">✗ Dapur (meja dapur/kitchen set)</t>
  </si>
  <si>
    <t xml:space="preserve">✓ Struktur beton</t>
  </si>
  <si>
    <t xml:space="preserve">✗ Carport, kanopi, pagar &amp; pintu pagar</t>
  </si>
  <si>
    <t xml:space="preserve">✓ Dinding, plester, acian</t>
  </si>
  <si>
    <t xml:space="preserve">✗ Ongkos kirim bahan (swakelola)</t>
  </si>
  <si>
    <t xml:space="preserve">✓ Atap</t>
  </si>
  <si>
    <t xml:space="preserve">✗ Dana cadangan</t>
  </si>
  <si>
    <t xml:space="preserve">✓ Plafon</t>
  </si>
  <si>
    <t xml:space="preserve">✗ Pajak (PPN / PPN KMS)</t>
  </si>
  <si>
    <t xml:space="preserve">✓ Lantai &amp; keramik</t>
  </si>
  <si>
    <t xml:space="preserve">✗ Tanah, PBG/IMB, notaris, desain</t>
  </si>
  <si>
    <t xml:space="preserve">✓ Pintu &amp; jendela</t>
  </si>
  <si>
    <t xml:space="preserve">✗ Sambungan PLN/PDAM permanen</t>
  </si>
  <si>
    <t xml:space="preserve">✓ Cat</t>
  </si>
  <si>
    <t xml:space="preserve">✗ Taman, interior, furnitur, AC</t>
  </si>
  <si>
    <t xml:space="preserve">✓ Sanitair &amp; plumbing (kloset, wastafel, floor drain, kran, pipa, septictank)</t>
  </si>
  <si>
    <t xml:space="preserve">✓ Instalasi listrik</t>
  </si>
  <si>
    <t xml:space="preserve">Sumber cakupan: asiaarsitek.com, indohomesarana.com, propnexplus.com, semenmerahputih.com (2026) — harga per meter umumnya hanya bangunan utama; pagar, carport, kanopi, taman, kitchen set, interior, PBG, dan sambungan PLN/PDAM dihitung terpisah.</t>
  </si>
  <si>
    <t xml:space="preserve">PERHITUNGAN BAHAN — kebutuhan, jumlah beli, dan biaya</t>
  </si>
  <si>
    <t xml:space="preserve">Kebutuhan = volume × koefisien AHSP (sudah termasuk susut). Biaya dihitung dari kebutuhan; jumlah beli (kemasan) hanya panduan belanja. Ubah harga per kemasan (biru) sesuai toko Anda.</t>
  </si>
  <si>
    <t xml:space="preserve">Kode</t>
  </si>
  <si>
    <t xml:space="preserve">Bahan</t>
  </si>
  <si>
    <t xml:space="preserve">Spesifikasi</t>
  </si>
  <si>
    <t xml:space="preserve">Kebutuhan</t>
  </si>
  <si>
    <t xml:space="preserve">Satuan</t>
  </si>
  <si>
    <t xml:space="preserve">Kemasan beli</t>
  </si>
  <si>
    <t xml:space="preserve">Isi / kemasan</t>
  </si>
  <si>
    <t xml:space="preserve">Jumlah beli</t>
  </si>
  <si>
    <t xml:space="preserve">Harga / kemasan</t>
  </si>
  <si>
    <t xml:space="preserve">Harga / satuan</t>
  </si>
  <si>
    <t xml:space="preserve">BIAYA</t>
  </si>
  <si>
    <t xml:space="preserve">Link toko online</t>
  </si>
  <si>
    <t xml:space="preserve">Asal harga</t>
  </si>
  <si>
    <t xml:space="preserve">Curah?</t>
  </si>
  <si>
    <t xml:space="preserve">Catatan</t>
  </si>
  <si>
    <t xml:space="preserve">SMN</t>
  </si>
  <si>
    <t xml:space="preserve">Semen PCC</t>
  </si>
  <si>
    <t xml:space="preserve">Tiga Roda / Gresik</t>
  </si>
  <si>
    <t xml:space="preserve">kg</t>
  </si>
  <si>
    <t xml:space="preserve">zak 40 kg</t>
  </si>
  <si>
    <t xml:space="preserve">—</t>
  </si>
  <si>
    <t xml:space="preserve">Triangulasi: SSH Badung 2026, RAB profesional (bangun.com), toko</t>
  </si>
  <si>
    <t xml:space="preserve">Tidak</t>
  </si>
  <si>
    <t xml:space="preserve">PSP</t>
  </si>
  <si>
    <t xml:space="preserve">Pasir pasang</t>
  </si>
  <si>
    <t xml:space="preserve">SSH Badung 2026 &amp; RAB profesional (bangun.com)</t>
  </si>
  <si>
    <t xml:space="preserve">Ya</t>
  </si>
  <si>
    <t xml:space="preserve">PSB</t>
  </si>
  <si>
    <t xml:space="preserve">Pasir beton</t>
  </si>
  <si>
    <t xml:space="preserve">RAB profesional — bangun.com</t>
  </si>
  <si>
    <t xml:space="preserve">SPL</t>
  </si>
  <si>
    <t xml:space="preserve">Batu split 1–2 cm</t>
  </si>
  <si>
    <t xml:space="preserve">SSH Kab. Badung 2026</t>
  </si>
  <si>
    <t xml:space="preserve">PSU</t>
  </si>
  <si>
    <t xml:space="preserve">Pasir urug</t>
  </si>
  <si>
    <t xml:space="preserve">SSH Badung &amp; RAB profesional (bangun.com)</t>
  </si>
  <si>
    <t xml:space="preserve">BTK</t>
  </si>
  <si>
    <t xml:space="preserve">Batu kali belah</t>
  </si>
  <si>
    <t xml:space="preserve">D10</t>
  </si>
  <si>
    <t xml:space="preserve">Besi ulir D10 full SNI</t>
  </si>
  <si>
    <t xml:space="preserve">12 m</t>
  </si>
  <si>
    <t xml:space="preserve">batang</t>
  </si>
  <si>
    <t xml:space="preserve">Toko online, SSH Badung, RAB profesional (bangun.com)</t>
  </si>
  <si>
    <t xml:space="preserve">D8</t>
  </si>
  <si>
    <t xml:space="preserve">Besi D8 full SNI</t>
  </si>
  <si>
    <t xml:space="preserve">Toko, SSH Badung, RAB profesional (bangun.com)</t>
  </si>
  <si>
    <t xml:space="preserve">D6</t>
  </si>
  <si>
    <t xml:space="preserve">Besi polos Ø6</t>
  </si>
  <si>
    <t xml:space="preserve">12 m, sengkang</t>
  </si>
  <si>
    <t xml:space="preserve">Turunan harga besi per kg</t>
  </si>
  <si>
    <t xml:space="preserve">KWT</t>
  </si>
  <si>
    <t xml:space="preserve">Kawat bendrat</t>
  </si>
  <si>
    <t xml:space="preserve">MPX</t>
  </si>
  <si>
    <t xml:space="preserve">Multipleks 9 mm</t>
  </si>
  <si>
    <t xml:space="preserve">122×244, bekisting (pakai ulang 4×)</t>
  </si>
  <si>
    <t xml:space="preserve">lembar</t>
  </si>
  <si>
    <t xml:space="preserve">KSO</t>
  </si>
  <si>
    <t xml:space="preserve">Kayu kaso 5/7</t>
  </si>
  <si>
    <t xml:space="preserve">4 m, bekisting</t>
  </si>
  <si>
    <t xml:space="preserve">Estimasi — belum ada sumber</t>
  </si>
  <si>
    <t xml:space="preserve">PKU</t>
  </si>
  <si>
    <t xml:space="preserve">Paku 5–10 cm</t>
  </si>
  <si>
    <t xml:space="preserve">MYK</t>
  </si>
  <si>
    <t xml:space="preserve">Minyak bekisting</t>
  </si>
  <si>
    <t xml:space="preserve">liter</t>
  </si>
  <si>
    <t xml:space="preserve">BRG</t>
  </si>
  <si>
    <t xml:space="preserve">Bata ringan 10 cm</t>
  </si>
  <si>
    <t xml:space="preserve">60×20×10 (±83 buah/m³)</t>
  </si>
  <si>
    <t xml:space="preserve">SSH Badung, RAB profesional (bangun.com), toko</t>
  </si>
  <si>
    <t xml:space="preserve">MRT</t>
  </si>
  <si>
    <t xml:space="preserve">Mortar instan bata ringan</t>
  </si>
  <si>
    <t xml:space="preserve">detikProperti Mei 2025 (Global Union)</t>
  </si>
  <si>
    <t xml:space="preserve">GNT</t>
  </si>
  <si>
    <t xml:space="preserve">±10 buah/m²</t>
  </si>
  <si>
    <t xml:space="preserve">NOK</t>
  </si>
  <si>
    <t xml:space="preserve">Nok genteng beton</t>
  </si>
  <si>
    <t xml:space="preserve">GYP</t>
  </si>
  <si>
    <t xml:space="preserve">Papan gypsum 9 mm</t>
  </si>
  <si>
    <t xml:space="preserve">120×240 (2,88 m²)</t>
  </si>
  <si>
    <t xml:space="preserve">HLW</t>
  </si>
  <si>
    <t xml:space="preserve">Hollow galvalum plafon 4×4 / 2×4</t>
  </si>
  <si>
    <t xml:space="preserve">4 m</t>
  </si>
  <si>
    <t xml:space="preserve">CMP</t>
  </si>
  <si>
    <t xml:space="preserve">Compound &amp; sekrup gypsum</t>
  </si>
  <si>
    <t xml:space="preserve">sak 20 kg</t>
  </si>
  <si>
    <t xml:space="preserve">GRN</t>
  </si>
  <si>
    <t xml:space="preserve">KW1, 4 keping/dus</t>
  </si>
  <si>
    <t xml:space="preserve">dus</t>
  </si>
  <si>
    <t xml:space="preserve">buka toko</t>
  </si>
  <si>
    <t xml:space="preserve">Median 3 toko Jabodetabek (Tokopedia)</t>
  </si>
  <si>
    <t xml:space="preserve">KKM</t>
  </si>
  <si>
    <t xml:space="preserve">Keramik lantai KM anti-slip 25×25</t>
  </si>
  <si>
    <t xml:space="preserve">dus (±1 m²)</t>
  </si>
  <si>
    <t xml:space="preserve">KDW</t>
  </si>
  <si>
    <t xml:space="preserve">Keramik dinding KM 25×40</t>
  </si>
  <si>
    <t xml:space="preserve">Toko Kab. Bogor (Tokopedia)</t>
  </si>
  <si>
    <t xml:space="preserve">KTR</t>
  </si>
  <si>
    <t xml:space="preserve">6 keping/dus</t>
  </si>
  <si>
    <t xml:space="preserve">NAT</t>
  </si>
  <si>
    <t xml:space="preserve">Semen warna / nat</t>
  </si>
  <si>
    <t xml:space="preserve">bungkus 1 kg</t>
  </si>
  <si>
    <t xml:space="preserve">PLM</t>
  </si>
  <si>
    <t xml:space="preserve">Plamir tembok</t>
  </si>
  <si>
    <t xml:space="preserve">galon 5 kg</t>
  </si>
  <si>
    <t xml:space="preserve">CDI</t>
  </si>
  <si>
    <t xml:space="preserve">Cat dasar interior</t>
  </si>
  <si>
    <t xml:space="preserve">CTL</t>
  </si>
  <si>
    <t xml:space="preserve">Cat Catylac interior</t>
  </si>
  <si>
    <t xml:space="preserve">Median 3 toko (Tokopedia)</t>
  </si>
  <si>
    <t xml:space="preserve">CDE</t>
  </si>
  <si>
    <t xml:space="preserve">Cat dasar eksterior</t>
  </si>
  <si>
    <t xml:space="preserve">galon 4 kg</t>
  </si>
  <si>
    <t xml:space="preserve">Toko Depok (Tokopedia)</t>
  </si>
  <si>
    <t xml:space="preserve">WSH</t>
  </si>
  <si>
    <t xml:space="preserve">Dulux Weathershield</t>
  </si>
  <si>
    <t xml:space="preserve">eksterior</t>
  </si>
  <si>
    <t xml:space="preserve">galon 2,5 L</t>
  </si>
  <si>
    <t xml:space="preserve">PAW</t>
  </si>
  <si>
    <t xml:space="preserve">Pipa PVC AW ½"</t>
  </si>
  <si>
    <t xml:space="preserve">m</t>
  </si>
  <si>
    <t xml:space="preserve">PD3</t>
  </si>
  <si>
    <t xml:space="preserve">Pipa PVC D 3"</t>
  </si>
  <si>
    <t xml:space="preserve">PD4</t>
  </si>
  <si>
    <t xml:space="preserve">Pipa PVC D 4"</t>
  </si>
  <si>
    <t xml:space="preserve">FTP</t>
  </si>
  <si>
    <t xml:space="preserve">Fitting, lem &amp; klem pipa</t>
  </si>
  <si>
    <t xml:space="preserve">per meter pipa</t>
  </si>
  <si>
    <t xml:space="preserve">paket per m</t>
  </si>
  <si>
    <t xml:space="preserve">K15</t>
  </si>
  <si>
    <t xml:space="preserve">Kabel NYM 2×1,5 mm²</t>
  </si>
  <si>
    <t xml:space="preserve">roll 50 m</t>
  </si>
  <si>
    <t xml:space="preserve">K25</t>
  </si>
  <si>
    <t xml:space="preserve">Kabel NYM 3×2,5 mm²</t>
  </si>
  <si>
    <t xml:space="preserve">CDT</t>
  </si>
  <si>
    <t xml:space="preserve">Pipa conduit 20 mm</t>
  </si>
  <si>
    <t xml:space="preserve">3 m</t>
  </si>
  <si>
    <t xml:space="preserve">SKL</t>
  </si>
  <si>
    <t xml:space="preserve">Saklar / stop kontak</t>
  </si>
  <si>
    <t xml:space="preserve">standar</t>
  </si>
  <si>
    <t xml:space="preserve">DLT</t>
  </si>
  <si>
    <t xml:space="preserve">Lampu downlight LED 9 W</t>
  </si>
  <si>
    <t xml:space="preserve">MCB</t>
  </si>
  <si>
    <t xml:space="preserve">PKT</t>
  </si>
  <si>
    <t xml:space="preserve">Daun pintu kamar HPL</t>
  </si>
  <si>
    <t xml:space="preserve">±80×200</t>
  </si>
  <si>
    <t xml:space="preserve">Rimba Doors (Tokopedia)</t>
  </si>
  <si>
    <t xml:space="preserve">KSN</t>
  </si>
  <si>
    <t xml:space="preserve">Kusen pintu aluminium 3"</t>
  </si>
  <si>
    <t xml:space="preserve">Toko Mojokerto (Tokopedia)</t>
  </si>
  <si>
    <t xml:space="preserve">KNC</t>
  </si>
  <si>
    <t xml:space="preserve">Kunci &amp; engsel pintu</t>
  </si>
  <si>
    <t xml:space="preserve">set standar</t>
  </si>
  <si>
    <t xml:space="preserve">Rata-rata pasar kunci Solid (Tokopedia)</t>
  </si>
  <si>
    <t xml:space="preserve">PKM</t>
  </si>
  <si>
    <t xml:space="preserve">Maxbuilt (ruparupa)</t>
  </si>
  <si>
    <t xml:space="preserve">KLS</t>
  </si>
  <si>
    <t xml:space="preserve">Kloset duduk</t>
  </si>
  <si>
    <t xml:space="preserve">monoblok standar</t>
  </si>
  <si>
    <t xml:space="preserve">Pondok Keramik (Tokopedia)</t>
  </si>
  <si>
    <t xml:space="preserve">JTS</t>
  </si>
  <si>
    <t xml:space="preserve">Jet shower</t>
  </si>
  <si>
    <t xml:space="preserve">SHW</t>
  </si>
  <si>
    <t xml:space="preserve">WST</t>
  </si>
  <si>
    <t xml:space="preserve">FDR</t>
  </si>
  <si>
    <t xml:space="preserve">KRN</t>
  </si>
  <si>
    <t xml:space="preserve">TRN</t>
  </si>
  <si>
    <t xml:space="preserve">PMP</t>
  </si>
  <si>
    <t xml:space="preserve">MDP</t>
  </si>
  <si>
    <t xml:space="preserve">Bahan meja dapur</t>
  </si>
  <si>
    <t xml:space="preserve">beton, keramik top &amp; backsplash</t>
  </si>
  <si>
    <t xml:space="preserve">paket</t>
  </si>
  <si>
    <t xml:space="preserve">SNK</t>
  </si>
  <si>
    <t xml:space="preserve">Sink stainless + kran dapur</t>
  </si>
  <si>
    <t xml:space="preserve">KYB</t>
  </si>
  <si>
    <t xml:space="preserve">Kayu bouwplank</t>
  </si>
  <si>
    <t xml:space="preserve">per m² bangunan</t>
  </si>
  <si>
    <t xml:space="preserve">AIR</t>
  </si>
  <si>
    <t xml:space="preserve">lot</t>
  </si>
  <si>
    <t xml:space="preserve">TOTAL BELANJA BAHAN</t>
  </si>
  <si>
    <t xml:space="preserve">di antaranya bahan curah (sudah termasuk kirim)</t>
  </si>
  <si>
    <t xml:space="preserve">PEKERJAAN TERPASANG — beli dari toko/aplikator, harga sudah termasuk jasa pasang</t>
  </si>
  <si>
    <t xml:space="preserve">Harga terpasang / sat</t>
  </si>
  <si>
    <t xml:space="preserve">PK01</t>
  </si>
  <si>
    <t xml:space="preserve">Aplikator via detikProperti + penawaran kontraktor</t>
  </si>
  <si>
    <t xml:space="preserve">PK02</t>
  </si>
  <si>
    <t xml:space="preserve">ATP-LSP-01</t>
  </si>
  <si>
    <t xml:space="preserve">PK03</t>
  </si>
  <si>
    <t xml:space="preserve">Toko aluminium (Tokopedia)</t>
  </si>
  <si>
    <t xml:space="preserve">PK04</t>
  </si>
  <si>
    <t xml:space="preserve">Toko &amp; penawaran kontraktor</t>
  </si>
  <si>
    <t xml:space="preserve">PK05</t>
  </si>
  <si>
    <t xml:space="preserve">JND-05</t>
  </si>
  <si>
    <t xml:space="preserve">PK06</t>
  </si>
  <si>
    <t xml:space="preserve">Penawaran kontraktor (arsip)</t>
  </si>
  <si>
    <t xml:space="preserve">PK07</t>
  </si>
  <si>
    <t xml:space="preserve">Bank Mega Syariah 2026</t>
  </si>
  <si>
    <t xml:space="preserve">PK08</t>
  </si>
  <si>
    <t xml:space="preserve">PK09</t>
  </si>
  <si>
    <t xml:space="preserve">PPG-02</t>
  </si>
  <si>
    <t xml:space="preserve">PK10</t>
  </si>
  <si>
    <t xml:space="preserve">PPG-05</t>
  </si>
  <si>
    <t xml:space="preserve">TOTAL PEKERJAAN TERPASANG</t>
  </si>
  <si>
    <t xml:space="preserve">PERHITUNGAN UPAH TUKANG</t>
  </si>
  <si>
    <t xml:space="preserve">Isi upah harian sesuai tarif di lokasi Anda (sel kuning). Kebutuhan tenaga dihitung otomatis dari volume × koefisien AHSP; upah = kebutuhan × upah per hari.</t>
  </si>
  <si>
    <t xml:space="preserve">Jenis tenaga</t>
  </si>
  <si>
    <t xml:space="preserve">Upah per hari</t>
  </si>
  <si>
    <t xml:space="preserve">Pekerja</t>
  </si>
  <si>
    <t xml:space="preserve">PKJ</t>
  </si>
  <si>
    <t xml:space="preserve">Acuan DKI 2026</t>
  </si>
  <si>
    <t xml:space="preserve">Tukang batu</t>
  </si>
  <si>
    <t xml:space="preserve">TKG</t>
  </si>
  <si>
    <t xml:space="preserve">Tukang kayu</t>
  </si>
  <si>
    <t xml:space="preserve">TKY</t>
  </si>
  <si>
    <t xml:space="preserve">Tukang besi</t>
  </si>
  <si>
    <t xml:space="preserve">TBS</t>
  </si>
  <si>
    <t xml:space="preserve">Tukang cat</t>
  </si>
  <si>
    <t xml:space="preserve">TCT</t>
  </si>
  <si>
    <t xml:space="preserve">Tukang listrik</t>
  </si>
  <si>
    <t xml:space="preserve">TLS</t>
  </si>
  <si>
    <t xml:space="preserve">Tukang pipa</t>
  </si>
  <si>
    <t xml:space="preserve">TPP</t>
  </si>
  <si>
    <t xml:space="preserve">Kepala tukang</t>
  </si>
  <si>
    <t xml:space="preserve">KTK</t>
  </si>
  <si>
    <t xml:space="preserve">Mandor</t>
  </si>
  <si>
    <t xml:space="preserve">MDR</t>
  </si>
  <si>
    <t xml:space="preserve">Sumber acuan: triangulasi harga pasar Jakarta, RAB kontraktor profesional (Indeks Biaya Bangun, bangun.com), dan standar upah resmi.</t>
  </si>
  <si>
    <t xml:space="preserve">KEBUTUHAN TENAGA &amp; UPAH PER TAHAP</t>
  </si>
  <si>
    <t xml:space="preserve">Kebutuhan (orang-hari) = volume × koefisien AHSP. Upah = kebutuhan × upah per hari. Angka ini sama untuk swakelola dan borongan.</t>
  </si>
  <si>
    <t xml:space="preserve">Tahap / jenis tenaga</t>
  </si>
  <si>
    <t xml:space="preserve">Kebutuhan (orang-hari)</t>
  </si>
  <si>
    <t xml:space="preserve">UPAH</t>
  </si>
  <si>
    <t xml:space="preserve">   Pekerja</t>
  </si>
  <si>
    <t xml:space="preserve">   Tukang batu</t>
  </si>
  <si>
    <t xml:space="preserve">   Tukang kayu</t>
  </si>
  <si>
    <t xml:space="preserve">   Tukang besi</t>
  </si>
  <si>
    <t xml:space="preserve">   Tukang cat</t>
  </si>
  <si>
    <t xml:space="preserve">   Tukang listrik</t>
  </si>
  <si>
    <t xml:space="preserve">   Tukang pipa</t>
  </si>
  <si>
    <t xml:space="preserve">   Kepala tukang</t>
  </si>
  <si>
    <t xml:space="preserve">   Mandor</t>
  </si>
  <si>
    <t xml:space="preserve">LAMA PENGERJAAN PER TAHAP (untuk jadwal)</t>
  </si>
  <si>
    <t xml:space="preserve">Tahap</t>
  </si>
  <si>
    <t xml:space="preserve">Total orang-hari</t>
  </si>
  <si>
    <t xml:space="preserve">Hari kerja (tim)</t>
  </si>
  <si>
    <t xml:space="preserve">Minggu</t>
  </si>
  <si>
    <t xml:space="preserve">ANALISA HARGA SATUAN PEKERJAAN (AHSP)</t>
  </si>
  <si>
    <t xml:space="preserve">Upah di AHSP = upah per volume (dipakai RAB Borongan); swakelola membayar per hari — lihat Perhitungan Upah. Format Permen PUPR: A. Tenaga kerja, B. Bahan, C. Jumlah, D. Margin, E. Harga satuan. Koefisien = koefisien pasar terkalibrasi, bahan sudah termasuk susut (biru, boleh diubah).</t>
  </si>
  <si>
    <t xml:space="preserve">Uraian</t>
  </si>
  <si>
    <t xml:space="preserve">Koefisien</t>
  </si>
  <si>
    <t xml:space="preserve">Jumlah harga</t>
  </si>
  <si>
    <t xml:space="preserve">Bantu: item</t>
  </si>
  <si>
    <t xml:space="preserve">Bantu: tahap</t>
  </si>
  <si>
    <t xml:space="preserve">Bantu: jenis</t>
  </si>
  <si>
    <t xml:space="preserve">Bantu: volume</t>
  </si>
  <si>
    <t xml:space="preserve">Bantu: total kebutuhan</t>
  </si>
  <si>
    <t xml:space="preserve">Bouwplank &amp; pengukuran — per 1 m²</t>
  </si>
  <si>
    <t xml:space="preserve">Volume RAB:</t>
  </si>
  <si>
    <t xml:space="preserve">A</t>
  </si>
  <si>
    <t xml:space="preserve">TENAGA KERJA</t>
  </si>
  <si>
    <t xml:space="preserve">OH</t>
  </si>
  <si>
    <t xml:space="preserve">Upah</t>
  </si>
  <si>
    <t xml:space="preserve">Jumlah tenaga kerja</t>
  </si>
  <si>
    <t xml:space="preserve">B</t>
  </si>
  <si>
    <t xml:space="preserve">BAHAN</t>
  </si>
  <si>
    <t xml:space="preserve">C</t>
  </si>
  <si>
    <t xml:space="preserve">HARGA SATUAN SWAKELOLA (A + B)</t>
  </si>
  <si>
    <t xml:space="preserve">D</t>
  </si>
  <si>
    <t xml:space="preserve">Margin kontraktor</t>
  </si>
  <si>
    <t xml:space="preserve">E</t>
  </si>
  <si>
    <t xml:space="preserve">HARGA SATUAN BORONGAN (C + D)</t>
  </si>
  <si>
    <t xml:space="preserve">Pembersihan lahan — per 1 ls</t>
  </si>
  <si>
    <t xml:space="preserve">Air &amp; listrik kerja — per 1 ls</t>
  </si>
  <si>
    <t xml:space="preserve">Galian tanah pondasi — per 1 m³</t>
  </si>
  <si>
    <t xml:space="preserve">Urugan pasir bawah pondasi — per 1 m³</t>
  </si>
  <si>
    <t xml:space="preserve">Pasangan batu kali 1:4 — per 1 m³</t>
  </si>
  <si>
    <t xml:space="preserve">Urugan tanah kembali — per 1 m³</t>
  </si>
  <si>
    <t xml:space="preserve">Urugan pasir bawah lantai — per 1 m³</t>
  </si>
  <si>
    <t xml:space="preserve">Rabat beton lantai kerja K-175 — per 1 m³</t>
  </si>
  <si>
    <t xml:space="preserve">Sloof 15×20 (4D10, Ø6-15) — per 1 m³</t>
  </si>
  <si>
    <t xml:space="preserve">Kolom 15×15 (4D10, Ø6-15) — per 1 m³</t>
  </si>
  <si>
    <t xml:space="preserve">Ring balok 12×15 (4D10, Ø6-15) — per 1 m³</t>
  </si>
  <si>
    <t xml:space="preserve">Balok latei 12×12 (4D8, Ø6-15) — per 1 m³</t>
  </si>
  <si>
    <t xml:space="preserve">Bingkai ampig 12×12 (4D8, Ø6-15) — per 1 m³</t>
  </si>
  <si>
    <t xml:space="preserve">Pasangan bata ringan 10 cm — per 1 m²</t>
  </si>
  <si>
    <t xml:space="preserve">Plesteran + acian — per 1 m²</t>
  </si>
  <si>
    <t xml:space="preserve">Rangka atap baja ringan — per 1 m²</t>
  </si>
  <si>
    <t xml:space="preserve">TENAGA KERJA — termasuk di harga terpasang</t>
  </si>
  <si>
    <t xml:space="preserve">PEKERJAAN TERPASANG (beli dari toko/aplikator)</t>
  </si>
  <si>
    <t xml:space="preserve">Jumlah</t>
  </si>
  <si>
    <t xml:space="preserve">Genteng beton — per 1 m²</t>
  </si>
  <si>
    <t xml:space="preserve">Nok / bubungan — per 1 m'</t>
  </si>
  <si>
    <t xml:space="preserve">Lisplang GRC 20 cm — per 1 m'</t>
  </si>
  <si>
    <t xml:space="preserve">Plafon gypsum 9 mm + rangka hollow — per 1 m²</t>
  </si>
  <si>
    <t xml:space="preserve">Granit HT 60×60 — per 1 m²</t>
  </si>
  <si>
    <t xml:space="preserve">Plint granit (potongan 10 cm) — per 1 m'</t>
  </si>
  <si>
    <t xml:space="preserve">Keramik lantai KM anti-slip — per 1 m²</t>
  </si>
  <si>
    <t xml:space="preserve">Keramik dinding KM — per 1 m²</t>
  </si>
  <si>
    <t xml:space="preserve">Keramik teras 40×40 — per 1 m²</t>
  </si>
  <si>
    <t xml:space="preserve">Pintu utama aluminium + kusen + kunci — per 1 unit</t>
  </si>
  <si>
    <t xml:space="preserve">Pintu kamar HPL + kusen aluminium (2 kamar + belakang) — per 1 unit</t>
  </si>
  <si>
    <t xml:space="preserve">Pintu KM PVC — per 1 unit</t>
  </si>
  <si>
    <t xml:space="preserve">Jendela aluminium + kaca — per 1 m²</t>
  </si>
  <si>
    <t xml:space="preserve">Bovenlight KM kaca mati — per 1 m²</t>
  </si>
  <si>
    <t xml:space="preserve">Cat interior Catylac (dinding + plafon) — per 1 m²</t>
  </si>
  <si>
    <t xml:space="preserve">Cat eksterior Weathershield — per 1 m²</t>
  </si>
  <si>
    <t xml:space="preserve">Kloset duduk + jet shower — per 1 unit</t>
  </si>
  <si>
    <t xml:space="preserve">Shower set — per 1 set</t>
  </si>
  <si>
    <t xml:space="preserve">Wastafel + kran — per 1 unit</t>
  </si>
  <si>
    <t xml:space="preserve">Floor drain — per 1 buah</t>
  </si>
  <si>
    <t xml:space="preserve">Kran air — per 1 buah</t>
  </si>
  <si>
    <t xml:space="preserve">Pipa PVC AW ½" air bersih — per 1 m'</t>
  </si>
  <si>
    <t xml:space="preserve">Pipa PVC D 3" air bekas — per 1 m'</t>
  </si>
  <si>
    <t xml:space="preserve">Pipa PVC D 4" air kotor — per 1 m'</t>
  </si>
  <si>
    <t xml:space="preserve">Toren 1.000 L — per 1 unit</t>
  </si>
  <si>
    <t xml:space="preserve">Pompa air 125 W — per 1 unit</t>
  </si>
  <si>
    <t xml:space="preserve">Septictank biofil 1.000 L — per 1 unit</t>
  </si>
  <si>
    <t xml:space="preserve">Titik lampu + downlight — per 1 titik</t>
  </si>
  <si>
    <t xml:space="preserve">Titik saklar / stop kontak — per 1 titik</t>
  </si>
  <si>
    <t xml:space="preserve">Box MCB 6 grup + MCB — per 1 set</t>
  </si>
  <si>
    <t xml:space="preserve">Meja dapur beton + sink + kran — per 1 ls</t>
  </si>
  <si>
    <t xml:space="preserve">Carport beton bertulang 12 cm (D8-200) — per 1 m²</t>
  </si>
  <si>
    <t xml:space="preserve">Kanopi baja ringan + Alderon — per 1 m²</t>
  </si>
  <si>
    <t xml:space="preserve">Tembok pagar bawah (bata ringan, plester 2 sisi, cat) — per 1 m²</t>
  </si>
  <si>
    <t xml:space="preserve">Pagar besi hollow — per 1 m²</t>
  </si>
  <si>
    <t xml:space="preserve">Pintu pagar geser — per 1 m²</t>
  </si>
  <si>
    <t xml:space="preserve">Rel + roda pintu pagar — per 1 set</t>
  </si>
  <si>
    <t xml:space="preserve">JADWAL &amp; KURVA-S — rencana vs realisasi</t>
  </si>
  <si>
    <t xml:space="preserve">Isi progres kumulatif (%) tiap tahap setiap akhir minggu. Mulai tahap pertama bisa diubah (biru).</t>
  </si>
  <si>
    <t xml:space="preserve">Minggu berjalan</t>
  </si>
  <si>
    <t xml:space="preserve">Bobot</t>
  </si>
  <si>
    <t xml:space="preserve">Mulai (minggu)</t>
  </si>
  <si>
    <t xml:space="preserve">Durasi (minggu)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</si>
  <si>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</si>
  <si>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</si>
  <si>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</si>
  <si>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</si>
  <si>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</si>
  <si>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</si>
  <si>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</si>
  <si>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</si>
  <si>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</si>
  <si>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</si>
  <si>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</si>
  <si>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</si>
  <si>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</si>
  <si>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</si>
  <si>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</si>
  <si>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</si>
  <si>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</si>
  <si>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</si>
  <si>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</si>
  <si>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</si>
  <si>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</si>
  <si>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</si>
  <si>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</si>
  <si>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</si>
  <si>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</si>
  <si>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</si>
  <si>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</si>
  <si>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</si>
  <si>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</si>
  <si>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</si>
  <si>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Rencana per minggu</t>
  </si>
  <si>
    <t xml:space="preserve">RENCANA KUMULATIF</t>
  </si>
  <si>
    <t xml:space="preserve">REALISASI (%) — progres kumulatif tiap tahap</t>
  </si>
  <si>
    <t xml:space="preserve">REALISASI KUMULATIF</t>
  </si>
  <si>
    <t xml:space="preserve">Deviasi</t>
  </si>
  <si>
    <t xml:space="preserve">Status minggu berjalan</t>
  </si>
  <si>
    <t xml:space="preserve">Minggu 1–4 berisi contoh — ganti dengan progres lapangan dan ubah 'Minggu berjalan'.</t>
  </si>
  <si>
    <t xml:space="preserve">Template Tipe 36/72 — 1 lantai, 2 kamar tidur, 1 KM, paket Menengah, DKI Jakarta</t>
  </si>
  <si>
    <t xml:space="preserve">Biru = ukuran template (bisa diubah). Hitam = volume otomatis.</t>
  </si>
  <si>
    <t xml:space="preserve">Parameter / volume</t>
  </si>
  <si>
    <t xml:space="preserve">Nilai</t>
  </si>
  <si>
    <t xml:space="preserve">Rumus / keterangan</t>
  </si>
  <si>
    <t xml:space="preserve">UKURAN TEMPLATE</t>
  </si>
  <si>
    <t xml:space="preserve">Lebar bangunan</t>
  </si>
  <si>
    <t xml:space="preserve">Panjang bangunan</t>
  </si>
  <si>
    <t xml:space="preserve">Tinggi dinding (sloof s/d ring balok)</t>
  </si>
  <si>
    <t xml:space="preserve">Panjang dinding dalam</t>
  </si>
  <si>
    <t xml:space="preserve">Sekat kamar, KM, dapur</t>
  </si>
  <si>
    <t xml:space="preserve">Luas bukaan pintu + jendela</t>
  </si>
  <si>
    <t xml:space="preserve">Pintu utama 0,9×2,1; 2 pintu kamar &amp; 1 belakang 0,8×2,1; KM 0,7×2,0; 4 jendela 1,2×1,2; bovenlight 0,5×0,4</t>
  </si>
  <si>
    <t xml:space="preserve">Lebar bukaan total (untuk balok latei)</t>
  </si>
  <si>
    <t xml:space="preserve">Jumlah lebar semua pintu &amp; jendela</t>
  </si>
  <si>
    <t xml:space="preserve">Jumlah bukaan</t>
  </si>
  <si>
    <t xml:space="preserve">Kemiringan atap</t>
  </si>
  <si>
    <t xml:space="preserve">°</t>
  </si>
  <si>
    <t xml:space="preserve">Pelana, genteng beton</t>
  </si>
  <si>
    <t xml:space="preserve">Overstek</t>
  </si>
  <si>
    <t xml:space="preserve">Jumlah kolom 15×15</t>
  </si>
  <si>
    <t xml:space="preserve">Sudut, pertemuan dinding, ujung dinding, samping bukaan lebar</t>
  </si>
  <si>
    <t xml:space="preserve">Teras</t>
  </si>
  <si>
    <t xml:space="preserve">1,5 × 3 m</t>
  </si>
  <si>
    <t xml:space="preserve">Carport</t>
  </si>
  <si>
    <t xml:space="preserve">3 × 5 m</t>
  </si>
  <si>
    <t xml:space="preserve">Lebar depan kavling (pagar)</t>
  </si>
  <si>
    <t xml:space="preserve">Lebar pintu pagar</t>
  </si>
  <si>
    <t xml:space="preserve">Pintu geser</t>
  </si>
  <si>
    <t xml:space="preserve">Luas lantai KM</t>
  </si>
  <si>
    <t xml:space="preserve">1,5 × 2 m</t>
  </si>
  <si>
    <t xml:space="preserve">Keramik dinding KM (full height, Menengah)</t>
  </si>
  <si>
    <t xml:space="preserve">Keliling 7 m × 2,4 m − pintu</t>
  </si>
  <si>
    <t xml:space="preserve">VOLUME TURUNAN</t>
  </si>
  <si>
    <t xml:space="preserve">Luas bangunan</t>
  </si>
  <si>
    <t xml:space="preserve">Keliling dinding luar</t>
  </si>
  <si>
    <t xml:space="preserve">Panjang dinding total</t>
  </si>
  <si>
    <t xml:space="preserve">Luas ampig (2 sisi pelana)</t>
  </si>
  <si>
    <t xml:space="preserve">Luas dinding bata ringan bersih</t>
  </si>
  <si>
    <t xml:space="preserve">Plester + acian (dua sisi; ampig hanya sisi luar)</t>
  </si>
  <si>
    <t xml:space="preserve">Cat eksterior</t>
  </si>
  <si>
    <t xml:space="preserve">Bukaan luar ±70% dari total bukaan</t>
  </si>
  <si>
    <t xml:space="preserve">Cat interior dinding</t>
  </si>
  <si>
    <t xml:space="preserve">Galian pondasi (lebar 0,9 × dalam 0,8)</t>
  </si>
  <si>
    <t xml:space="preserve">Urugan pasir bawah pondasi 5 cm</t>
  </si>
  <si>
    <t xml:space="preserve">Pasangan batu kali (atas 0,3; bawah 0,7; tinggi 0,6)</t>
  </si>
  <si>
    <t xml:space="preserve">Urugan pasir bawah lantai 10 cm</t>
  </si>
  <si>
    <t xml:space="preserve">Rabat beton lantai kerja 5 cm</t>
  </si>
  <si>
    <t xml:space="preserve">Sloof 15×20</t>
  </si>
  <si>
    <t xml:space="preserve">Kolom 15×15</t>
  </si>
  <si>
    <t xml:space="preserve">Ring balok 12×15</t>
  </si>
  <si>
    <t xml:space="preserve">Balok latei 12×12</t>
  </si>
  <si>
    <t xml:space="preserve">Bingkai ampig 12×12</t>
  </si>
  <si>
    <t xml:space="preserve">Luas atap miring</t>
  </si>
  <si>
    <t xml:space="preserve">Lisplang</t>
  </si>
  <si>
    <t xml:space="preserve">Lantai granit (ruang dalam, di luar KM)</t>
  </si>
  <si>
    <t xml:space="preserve">Plint</t>
  </si>
  <si>
    <t xml:space="preserve">Plafon (rumah + teras)</t>
  </si>
  <si>
    <t xml:space="preserve">Pagar hollow di atas tembok bawah</t>
  </si>
  <si>
    <t xml:space="preserve">Tinggi infill 1,2 m</t>
  </si>
  <si>
    <t xml:space="preserve">Tembok pagar bawah + kolom</t>
  </si>
  <si>
    <t xml:space="preserve">Tinggi 0,6 m</t>
  </si>
  <si>
    <t xml:space="preserve">Tinggi 1,8 m</t>
  </si>
  <si>
    <t xml:space="preserve">Panjang nok</t>
  </si>
  <si>
    <t xml:space="preserve">Cat interior (dinding + plafon)</t>
  </si>
  <si>
    <t xml:space="preserve">PARAMETER — ubah nilai biru sesuai kebutuhan</t>
  </si>
  <si>
    <t xml:space="preserve">Parameter</t>
  </si>
  <si>
    <t xml:space="preserve">Margin kontraktor (overhead + keuntungan)</t>
  </si>
  <si>
    <t xml:space="preserve">Hanya untuk borongan: alat, transport, pengawasan, risiko, dan keuntungan kontraktor. Wajar 10–25%; di bawah 10% berisiko rugi bagi kontraktor.</t>
  </si>
  <si>
    <t xml:space="preserve">Dana cadangan — swakelola</t>
  </si>
  <si>
    <t xml:space="preserve">Susut, salah beli, sewa alat, tukang lambat</t>
  </si>
  <si>
    <t xml:space="preserve">Dana cadangan — borongan</t>
  </si>
  <si>
    <t xml:space="preserve">Sebagian risiko ditanggung kontraktor</t>
  </si>
  <si>
    <t xml:space="preserve">Ongkos kirim &amp; bongkar bahan non-curah</t>
  </si>
  <si>
    <t xml:space="preserve">ESTIMASI. Pasir/batu &amp; pekerjaan terpasang sudah termasuk kirim</t>
  </si>
  <si>
    <t xml:space="preserve">Kontraktor PKP? (1 = ya, 0 = tidak)</t>
  </si>
  <si>
    <t xml:space="preserve">Bila 1: PPN 11% atas nilai borongan</t>
  </si>
  <si>
    <t xml:space="preserve">Tarif PPN efektif</t>
  </si>
  <si>
    <t xml:space="preserve">12% × DPP 11/12</t>
  </si>
  <si>
    <t xml:space="preserve">PPN membangun sendiri (KMS)</t>
  </si>
  <si>
    <t xml:space="preserve">Swakelola, hanya bila luas bangunan ≥ 200 m²</t>
  </si>
  <si>
    <t xml:space="preserve">Jumlah orang per tim</t>
  </si>
  <si>
    <t xml:space="preserve">Untuk menghitung durasi. Acuan: rumah 1 lantai 5 orang, 2 lantai 8 orang</t>
  </si>
  <si>
    <t xml:space="preserve">KELAS PAKET — untuk kontrol harga per m²</t>
  </si>
  <si>
    <t xml:space="preserve">Kelas paket rumah ini</t>
  </si>
  <si>
    <t xml:space="preserve">Pilih: Sederhana / Menengah / Mewah</t>
  </si>
  <si>
    <t xml:space="preserve">Rentang harga pasar per m² untuk tiap kelas diatur di sheet Kontrol Harga.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</si>
</sst>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&quot;Rp&quot;#,##0;&quot;(Rp&quot;#,##0\);\-"/>
    <numFmt numFmtId="166" formatCode="0&quot; minggu&quot;"/>
    <numFmt numFmtId="167" formatCode="0%"/>
    <numFmt numFmtId="168" formatCode="#,##0.00"/>
    <numFmt numFmtId="169" formatCode="#,##0.0"/>
    <numFmt numFmtId="170" formatCode="#,##0.##"/>
    <numFmt numFmtId="171" formatCode="#,##0"/>
    <numFmt numFmtId="172" formatCode="&quot;Rp&quot;#,##0"/>
    <numFmt numFmtId="173" formatCode="0.0"/>
    <numFmt numFmtId="174" formatCode="0"/>
    <numFmt numFmtId="175" formatCode="0.0000"/>
    <numFmt numFmtId="176" formatCode="0.00"/>
    <numFmt numFmtId="177" formatCode="0.0%"/>
    <numFmt numFmtId="178" formatCode="0.0%;\-0.0%;&quot;&quot;"/>
    <numFmt numFmtId="179" formatCode="\+0%;\-0%;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.5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48235"/>
      <name val="Arial"/>
      <family val="0"/>
      <charset val="1"/>
    </font>
    <font>
      <i val="true"/>
      <sz val="10"/>
      <color rgb="FF54823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4CC"/>
        <bgColor rgb="FFFCE4D6"/>
      </patternFill>
    </fill>
    <fill>
      <patternFill patternType="solid">
        <fgColor rgb="FFFCE4D6"/>
        <bgColor rgb="FFFFF4CC"/>
      </patternFill>
    </fill>
    <fill>
      <patternFill patternType="solid">
        <fgColor rgb="FFDDEBF7"/>
        <bgColor rgb="FFEEF2F7"/>
      </patternFill>
    </fill>
    <fill>
      <patternFill patternType="solid">
        <fgColor rgb="FFF5F8FC"/>
        <bgColor rgb="FFEEF2F7"/>
      </patternFill>
    </fill>
    <fill>
      <patternFill patternType="solid">
        <fgColor rgb="FFEEF2F7"/>
        <bgColor rgb="FFF5F8FC"/>
      </patternFill>
    </fill>
    <fill>
      <patternFill patternType="solid">
        <fgColor rgb="FFBFBFBF"/>
        <bgColor rgb="FF9DC3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7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11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375623"/>
      </font>
      <fill>
        <patternFill>
          <bgColor rgb="FFC6E0B4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C00000"/>
      </font>
      <fill>
        <patternFill>
          <bgColor rgb="FFF8CBAD"/>
        </patternFill>
      </fill>
    </dxf>
    <dxf>
      <fill>
        <patternFill>
          <bgColor rgb="FFFCE4D6"/>
        </patternFill>
      </fill>
    </dxf>
    <dxf>
      <font>
        <b val="1"/>
        <color rgb="FF1F3864"/>
      </font>
      <fill>
        <patternFill>
          <bgColor rgb="FF9DC3E6"/>
        </patternFill>
      </fill>
    </dxf>
    <dxf>
      <font>
        <b val="1"/>
        <color rgb="FFC00000"/>
      </font>
      <fill>
        <patternFill>
          <bgColor rgb="FFF8CBAD"/>
        </patternFill>
      </fill>
    </dxf>
    <dxf>
      <font>
        <b val="1"/>
        <color rgb="FF375623"/>
      </font>
      <fill>
        <patternFill>
          <bgColor rgb="FFC6E0B4"/>
        </patternFill>
      </fill>
    </dxf>
    <dxf>
      <font>
        <b val="1"/>
        <color rgb="FF1F3864"/>
      </font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5F8F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A6A6A6"/>
      <rgbColor rgb="FF993366"/>
      <rgbColor rgb="FFFFF4C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0B4"/>
      <rgbColor rgb="FFFFE699"/>
      <rgbColor rgb="FF9DC3E6"/>
      <rgbColor rgb="FFF4B183"/>
      <rgbColor rgb="FFD9D9D9"/>
      <rgbColor rgb="FFF8CBAD"/>
      <rgbColor rgb="FF2E75B6"/>
      <rgbColor rgb="FF33CCCC"/>
      <rgbColor rgb="FF99CC00"/>
      <rgbColor rgb="FFFCE4D6"/>
      <rgbColor rgb="FFFF9900"/>
      <rgbColor rgb="FFC55A11"/>
      <rgbColor rgb="FF555555"/>
      <rgbColor rgb="FF878787"/>
      <rgbColor rgb="FF1F3864"/>
      <rgbColor rgb="FF548235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Kurva-S: rencana vs realisasi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"Realisasi"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rgbClr val="f4b183"/>
            </a:solidFill>
            <a:ln w="0">
              <a:solidFill>
                <a:srgbClr val="f4b183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'Kurva-S'!$E$5:$AH$5</c:f>
              <c:multiLvlStrCache>
                <c:ptCount val="1"/>
                <c:lvl>
                  <c:pt idx="0">
                    <c:v>M30</c:v>
                  </c:pt>
                </c:lvl>
                <c:lvl>
                  <c:pt idx="0">
                    <c:v>M29</c:v>
                  </c:pt>
                </c:lvl>
                <c:lvl>
                  <c:pt idx="0">
                    <c:v>M28</c:v>
                  </c:pt>
                </c:lvl>
                <c:lvl>
                  <c:pt idx="0">
                    <c:v>M27</c:v>
                  </c:pt>
                </c:lvl>
                <c:lvl>
                  <c:pt idx="0">
                    <c:v>M26</c:v>
                  </c:pt>
                </c:lvl>
                <c:lvl>
                  <c:pt idx="0">
                    <c:v>M25</c:v>
                  </c:pt>
                </c:lvl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'Kurva-S'!$E$36:$AH$36</c:f>
              <c:numCache>
                <c:formatCode>0%</c:formatCode>
                <c:ptCount val="30"/>
                <c:pt idx="0">
                  <c:v>0.0202981074629016</c:v>
                </c:pt>
                <c:pt idx="1">
                  <c:v>0.073517476805465</c:v>
                </c:pt>
                <c:pt idx="2">
                  <c:v>0.108997056367174</c:v>
                </c:pt>
                <c:pt idx="3">
                  <c:v>0.146896424445635</c:v>
                </c:pt>
              </c:numCache>
            </c:numRef>
          </c:val>
        </c:ser>
        <c:gapWidth val="60"/>
        <c:overlap val="0"/>
        <c:axId val="51587525"/>
        <c:axId val="4242332"/>
      </c:barChart>
      <c:lineChart>
        <c:grouping val="standard"/>
        <c:varyColors val="0"/>
        <c:ser>
          <c:idx val="1"/>
          <c:order val="1"/>
          <c:tx>
            <c:strRef>
              <c:f>"Rencana"</c:f>
              <c:strCache>
                <c:ptCount val="1"/>
                <c:pt idx="0">
                  <c:v>Rencana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'Kurva-S'!$E$5:$AH$5</c:f>
              <c:multiLvlStrCache>
                <c:ptCount val="1"/>
                <c:lvl>
                  <c:pt idx="0">
                    <c:v>M30</c:v>
                  </c:pt>
                </c:lvl>
                <c:lvl>
                  <c:pt idx="0">
                    <c:v>M29</c:v>
                  </c:pt>
                </c:lvl>
                <c:lvl>
                  <c:pt idx="0">
                    <c:v>M28</c:v>
                  </c:pt>
                </c:lvl>
                <c:lvl>
                  <c:pt idx="0">
                    <c:v>M27</c:v>
                  </c:pt>
                </c:lvl>
                <c:lvl>
                  <c:pt idx="0">
                    <c:v>M26</c:v>
                  </c:pt>
                </c:lvl>
                <c:lvl>
                  <c:pt idx="0">
                    <c:v>M25</c:v>
                  </c:pt>
                </c:lvl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'Kurva-S'!$E$20:$AH$20</c:f>
              <c:numCache>
                <c:formatCode>0%</c:formatCode>
                <c:ptCount val="30"/>
                <c:pt idx="0">
                  <c:v>0.0202981074629016</c:v>
                </c:pt>
                <c:pt idx="1">
                  <c:v>0.0646475819150378</c:v>
                </c:pt>
                <c:pt idx="2">
                  <c:v>0.108997056367174</c:v>
                </c:pt>
                <c:pt idx="3">
                  <c:v>0.184795792524097</c:v>
                </c:pt>
                <c:pt idx="4">
                  <c:v>0.21882991736404</c:v>
                </c:pt>
                <c:pt idx="5">
                  <c:v>0.252864042203983</c:v>
                </c:pt>
                <c:pt idx="6">
                  <c:v>0.286898167043926</c:v>
                </c:pt>
                <c:pt idx="7">
                  <c:v>0.320932291883869</c:v>
                </c:pt>
                <c:pt idx="8">
                  <c:v>0.354966416723812</c:v>
                </c:pt>
                <c:pt idx="9">
                  <c:v>0.426701006797159</c:v>
                </c:pt>
                <c:pt idx="10">
                  <c:v>0.498435596870506</c:v>
                </c:pt>
                <c:pt idx="11">
                  <c:v>0.518487174530646</c:v>
                </c:pt>
                <c:pt idx="12">
                  <c:v>0.552313828671505</c:v>
                </c:pt>
                <c:pt idx="13">
                  <c:v>0.586140482812364</c:v>
                </c:pt>
                <c:pt idx="14">
                  <c:v>0.677871417211293</c:v>
                </c:pt>
                <c:pt idx="15">
                  <c:v>0.846136372575152</c:v>
                </c:pt>
                <c:pt idx="16">
                  <c:v>0.868298319129489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587525"/>
        <c:axId val="4242332"/>
      </c:lineChart>
      <c:catAx>
        <c:axId val="515875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Minggu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332"/>
        <c:crosses val="autoZero"/>
        <c:auto val="1"/>
        <c:lblAlgn val="ctr"/>
        <c:lblOffset val="100"/>
        <c:noMultiLvlLbl val="0"/>
      </c:catAx>
      <c:valAx>
        <c:axId val="424233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Progres kumulatif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875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126360</xdr:rowOff>
    </xdr:from>
    <xdr:to>
      <xdr:col>15</xdr:col>
      <xdr:colOff>322200</xdr:colOff>
      <xdr:row>49</xdr:row>
      <xdr:rowOff>10080</xdr:rowOff>
    </xdr:to>
    <xdr:graphicFrame>
      <xdr:nvGraphicFramePr>
        <xdr:cNvPr id="0" name="Chart 1"/>
        <xdr:cNvGraphicFramePr/>
      </xdr:nvGraphicFramePr>
      <xdr:xfrm>
        <a:off x="0" y="7794000"/>
        <a:ext cx="10288440" cy="341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tokopedia.com/find/granit-60x60-glass-polish" TargetMode="External"/><Relationship Id="rId2" Type="http://schemas.openxmlformats.org/officeDocument/2006/relationships/hyperlink" Target="https://www.tokopedia.com/mjaya-128/etalase/keramik" TargetMode="External"/><Relationship Id="rId3" Type="http://schemas.openxmlformats.org/officeDocument/2006/relationships/hyperlink" Target="https://www.tokopedia.com/mjaya-128/etalase/keramik" TargetMode="External"/><Relationship Id="rId4" Type="http://schemas.openxmlformats.org/officeDocument/2006/relationships/hyperlink" Target="https://www.tokopedia.com/find/cat-tembok-dulux" TargetMode="External"/><Relationship Id="rId5" Type="http://schemas.openxmlformats.org/officeDocument/2006/relationships/hyperlink" Target="https://www.tokopedia.com/find/cat-tembok-dulux" TargetMode="External"/><Relationship Id="rId6" Type="http://schemas.openxmlformats.org/officeDocument/2006/relationships/hyperlink" Target="https://www.tokopedia.com/find/cat-tembok-dulux" TargetMode="External"/><Relationship Id="rId7" Type="http://schemas.openxmlformats.org/officeDocument/2006/relationships/hyperlink" Target="https://www.tokopedia.com/find/kusen-dan-pintu-aluminium" TargetMode="External"/><Relationship Id="rId8" Type="http://schemas.openxmlformats.org/officeDocument/2006/relationships/hyperlink" Target="https://www.tokopedia.com/find/kunci-pintu-solid" TargetMode="External"/><Relationship Id="rId9" Type="http://schemas.openxmlformats.org/officeDocument/2006/relationships/hyperlink" Target="https://www.ruparupa.com/acestore/maxb-198x70x7-cm-pintu-kamar-mandi-upc-right-putih.html" TargetMode="External"/><Relationship Id="rId10" Type="http://schemas.openxmlformats.org/officeDocument/2006/relationships/hyperlink" Target="https://www.tokopedia.com/pondokkeramik/etalase/toto" TargetMode="External"/><Relationship Id="rId11" Type="http://schemas.openxmlformats.org/officeDocument/2006/relationships/hyperlink" Target="https://www.tokopedia.com/find/kusen-dan-pintu-aluminium" TargetMode="External"/><Relationship Id="rId12" Type="http://schemas.openxmlformats.org/officeDocument/2006/relationships/hyperlink" Target="https://www.tokopedia.com/find/pintu-dan-jendela-aluminium-set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5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0" width="24"/>
    <col collapsed="false" customWidth="true" hidden="false" outlineLevel="0" max="4" min="4" style="1" width="56"/>
  </cols>
  <sheetData>
    <row r="1" customFormat="false" ht="25.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4" customFormat="false" ht="33.75" hidden="false" customHeight="true" outlineLevel="0" collapsed="false">
      <c r="A4" s="4"/>
      <c r="B4" s="5" t="s">
        <v>2</v>
      </c>
      <c r="C4" s="5" t="s">
        <v>3</v>
      </c>
      <c r="D4" s="4"/>
    </row>
    <row r="5" customFormat="false" ht="31.5" hidden="false" customHeight="true" outlineLevel="0" collapsed="false">
      <c r="A5" s="6" t="s">
        <v>4</v>
      </c>
      <c r="B5" s="7" t="n">
        <f aca="false">'RAB Swakelola'!J78</f>
        <v>225677252.639454</v>
      </c>
      <c r="C5" s="7" t="n">
        <f aca="false">'RAB Borongan'!L78</f>
        <v>244786045.156237</v>
      </c>
      <c r="D5" s="8"/>
    </row>
    <row r="6" customFormat="false" ht="19.5" hidden="false" customHeight="true" outlineLevel="0" collapsed="false">
      <c r="A6" s="9" t="s">
        <v>5</v>
      </c>
      <c r="B6" s="10" t="n">
        <f aca="false">SUMIF('RAB Swakelola'!$M$6:$M$71,"Standar",'RAB Swakelola'!$J$6:$J$71)/Volume!$B$23</f>
        <v>4645936.06292883</v>
      </c>
      <c r="C6" s="10" t="n">
        <f aca="false">SUMIF('RAB Borongan'!$O$6:$O$71,"Standar",'RAB Borongan'!$L$6:$L$71)/Volume!$B$23</f>
        <v>5342826.47236815</v>
      </c>
      <c r="D6" s="11"/>
    </row>
    <row r="7" customFormat="false" ht="19.5" hidden="false" customHeight="true" outlineLevel="0" collapsed="false">
      <c r="A7" s="9" t="s">
        <v>6</v>
      </c>
      <c r="B7" s="12" t="n">
        <f aca="false">SUMPRODUCT(MAX('Kurva-S'!$C$6:$C$18+'Kurva-S'!$D$6:$D$18))-1</f>
        <v>18</v>
      </c>
      <c r="C7" s="12" t="n">
        <f aca="false">B7</f>
        <v>18</v>
      </c>
      <c r="D7" s="11"/>
    </row>
    <row r="8" customFormat="false" ht="31.5" hidden="false" customHeight="true" outlineLevel="0" collapsed="false">
      <c r="A8" s="9" t="s">
        <v>7</v>
      </c>
      <c r="B8" s="13" t="s">
        <v>8</v>
      </c>
      <c r="C8" s="13" t="s">
        <v>9</v>
      </c>
      <c r="D8" s="11"/>
    </row>
    <row r="10" customFormat="false" ht="30" hidden="false" customHeight="true" outlineLevel="0" collapsed="false">
      <c r="A10" s="5" t="s">
        <v>10</v>
      </c>
      <c r="B10" s="5" t="s">
        <v>11</v>
      </c>
      <c r="C10" s="5" t="s">
        <v>12</v>
      </c>
      <c r="D10" s="5" t="s">
        <v>13</v>
      </c>
    </row>
    <row r="11" customFormat="false" ht="27.75" hidden="false" customHeight="true" outlineLevel="0" collapsed="false">
      <c r="A11" s="14" t="s">
        <v>14</v>
      </c>
      <c r="B11" s="15" t="n">
        <f aca="false">'RAB Swakelola'!H73-'Perhitungan Bahan'!K77</f>
        <v>94881460.2276705</v>
      </c>
      <c r="C11" s="15" t="n">
        <f aca="false">'RAB Borongan'!I73-'Perhitungan Bahan'!K77</f>
        <v>94881460.2276705</v>
      </c>
      <c r="D11" s="16" t="s">
        <v>15</v>
      </c>
    </row>
    <row r="12" customFormat="false" ht="27.75" hidden="false" customHeight="true" outlineLevel="0" collapsed="false">
      <c r="A12" s="14" t="s">
        <v>16</v>
      </c>
      <c r="B12" s="15" t="n">
        <f aca="false">'Perhitungan Bahan'!K77</f>
        <v>52305262.5611109</v>
      </c>
      <c r="C12" s="15" t="n">
        <f aca="false">'Perhitungan Bahan'!K77</f>
        <v>52305262.5611109</v>
      </c>
      <c r="D12" s="16" t="s">
        <v>17</v>
      </c>
    </row>
    <row r="13" customFormat="false" ht="27.75" hidden="false" customHeight="true" outlineLevel="0" collapsed="false">
      <c r="A13" s="14" t="s">
        <v>18</v>
      </c>
      <c r="B13" s="15" t="n">
        <f aca="false">'RAB Swakelola'!I73</f>
        <v>55534639.6594483</v>
      </c>
      <c r="C13" s="15" t="n">
        <f aca="false">'RAB Borongan'!J73</f>
        <v>55534639.6594483</v>
      </c>
      <c r="D13" s="16" t="s">
        <v>19</v>
      </c>
    </row>
    <row r="14" customFormat="false" ht="27.75" hidden="false" customHeight="true" outlineLevel="0" collapsed="false">
      <c r="A14" s="14" t="s">
        <v>20</v>
      </c>
      <c r="B14" s="15" t="n">
        <f aca="false">'RAB Swakelola'!J74</f>
        <v>2439776.31490993</v>
      </c>
      <c r="C14" s="15" t="n">
        <f aca="false">'RAB Borongan'!L74</f>
        <v>0</v>
      </c>
      <c r="D14" s="16" t="s">
        <v>21</v>
      </c>
    </row>
    <row r="15" customFormat="false" ht="27.75" hidden="false" customHeight="true" outlineLevel="0" collapsed="false">
      <c r="A15" s="14" t="s">
        <v>22</v>
      </c>
      <c r="B15" s="15" t="n">
        <v>0</v>
      </c>
      <c r="C15" s="15" t="n">
        <f aca="false">'RAB Borongan'!K73</f>
        <v>30408204.3672345</v>
      </c>
      <c r="D15" s="16" t="str">
        <f aca="false">"Overhead + keuntungan kontraktor "&amp;TEXT(Parameter!$B$4,"0%")&amp;" (tidak ada di swakelola)"</f>
        <v>Overhead + keuntungan kontraktor 15% (tidak ada di swakelola)</v>
      </c>
    </row>
    <row r="16" customFormat="false" ht="27.75" hidden="false" customHeight="true" outlineLevel="0" collapsed="false">
      <c r="A16" s="14" t="s">
        <v>23</v>
      </c>
      <c r="B16" s="15" t="n">
        <f aca="false">'RAB Swakelola'!J76</f>
        <v>20516113.876314</v>
      </c>
      <c r="C16" s="15" t="n">
        <f aca="false">'RAB Borongan'!L76</f>
        <v>11656478.3407732</v>
      </c>
      <c r="D16" s="16" t="s">
        <v>24</v>
      </c>
    </row>
    <row r="17" customFormat="false" ht="27.75" hidden="false" customHeight="true" outlineLevel="0" collapsed="false">
      <c r="A17" s="14" t="s">
        <v>25</v>
      </c>
      <c r="B17" s="15" t="n">
        <f aca="false">'RAB Swakelola'!J77</f>
        <v>0</v>
      </c>
      <c r="C17" s="15" t="n">
        <f aca="false">'RAB Borongan'!L77</f>
        <v>0</v>
      </c>
      <c r="D17" s="16" t="s">
        <v>26</v>
      </c>
    </row>
    <row r="18" customFormat="false" ht="27.75" hidden="false" customHeight="true" outlineLevel="0" collapsed="false">
      <c r="A18" s="17" t="s">
        <v>27</v>
      </c>
      <c r="B18" s="18" t="n">
        <f aca="false">SUM(B11:B17)</f>
        <v>225677252.639454</v>
      </c>
      <c r="C18" s="18" t="n">
        <f aca="false">SUM(C11:C17)</f>
        <v>244786045.156237</v>
      </c>
      <c r="D18" s="19" t="str">
        <f aca="false">IF(AND(ABS(B18-B5)&lt;1,ABS(C18-C5)&lt;1),"✓ sama dengan total di sheet RAB","periksa RAB")</f>
        <v>✓ sama dengan total di sheet RAB</v>
      </c>
    </row>
    <row r="20" customFormat="false" ht="30" hidden="false" customHeight="true" outlineLevel="0" collapsed="false">
      <c r="A20" s="5" t="s">
        <v>28</v>
      </c>
      <c r="B20" s="5" t="s">
        <v>11</v>
      </c>
      <c r="C20" s="5" t="s">
        <v>12</v>
      </c>
      <c r="D20" s="5" t="s">
        <v>29</v>
      </c>
    </row>
    <row r="21" customFormat="false" ht="15" hidden="false" customHeight="true" outlineLevel="0" collapsed="false">
      <c r="A21" s="20" t="s">
        <v>30</v>
      </c>
      <c r="B21" s="21" t="n">
        <f aca="false">'RAB Swakelola'!J5</f>
        <v>4114860</v>
      </c>
      <c r="C21" s="21" t="n">
        <f aca="false">'RAB Borongan'!L5</f>
        <v>4732089</v>
      </c>
      <c r="D21" s="22" t="n">
        <f aca="false">C21/'RAB Borongan'!L73</f>
        <v>0.0202981074629016</v>
      </c>
    </row>
    <row r="22" customFormat="false" ht="15" hidden="false" customHeight="true" outlineLevel="0" collapsed="false">
      <c r="A22" s="20" t="s">
        <v>31</v>
      </c>
      <c r="B22" s="21" t="n">
        <f aca="false">'RAB Swakelola'!J9</f>
        <v>17981171.7696</v>
      </c>
      <c r="C22" s="21" t="n">
        <f aca="false">'RAB Borongan'!L9</f>
        <v>20678347.53504</v>
      </c>
      <c r="D22" s="22" t="n">
        <f aca="false">C22/'RAB Borongan'!L73</f>
        <v>0.0886989489042723</v>
      </c>
    </row>
    <row r="23" customFormat="false" ht="15" hidden="false" customHeight="true" outlineLevel="0" collapsed="false">
      <c r="A23" s="20" t="s">
        <v>32</v>
      </c>
      <c r="B23" s="21" t="n">
        <f aca="false">'RAB Swakelola'!J16</f>
        <v>15366023.0655853</v>
      </c>
      <c r="C23" s="21" t="n">
        <f aca="false">'RAB Borongan'!L16</f>
        <v>17670926.5254231</v>
      </c>
      <c r="D23" s="22" t="n">
        <f aca="false">C23/'RAB Borongan'!L73</f>
        <v>0.0757987361569228</v>
      </c>
    </row>
    <row r="24" customFormat="false" ht="15" hidden="false" customHeight="true" outlineLevel="0" collapsed="false">
      <c r="A24" s="20" t="s">
        <v>33</v>
      </c>
      <c r="B24" s="21" t="n">
        <f aca="false">'RAB Swakelola'!J22</f>
        <v>34497220.7864321</v>
      </c>
      <c r="C24" s="21" t="n">
        <f aca="false">'RAB Borongan'!L22</f>
        <v>39671803.9043969</v>
      </c>
      <c r="D24" s="22" t="n">
        <f aca="false">C24/'RAB Borongan'!L73</f>
        <v>0.170170624199716</v>
      </c>
    </row>
    <row r="25" customFormat="false" ht="15" hidden="false" customHeight="true" outlineLevel="0" collapsed="false">
      <c r="A25" s="20" t="s">
        <v>34</v>
      </c>
      <c r="B25" s="21" t="n">
        <f aca="false">'RAB Swakelola'!J25</f>
        <v>29084267.6686683</v>
      </c>
      <c r="C25" s="21" t="n">
        <f aca="false">'RAB Borongan'!L25</f>
        <v>33446907.8189686</v>
      </c>
      <c r="D25" s="22" t="n">
        <f aca="false">C25/'RAB Borongan'!L73</f>
        <v>0.143469180146694</v>
      </c>
    </row>
    <row r="26" customFormat="false" ht="15" hidden="false" customHeight="true" outlineLevel="0" collapsed="false">
      <c r="A26" s="20" t="s">
        <v>35</v>
      </c>
      <c r="B26" s="21" t="n">
        <f aca="false">'RAB Swakelola'!J30</f>
        <v>4064883.1425</v>
      </c>
      <c r="C26" s="21" t="n">
        <f aca="false">'RAB Borongan'!L30</f>
        <v>4674615.613875</v>
      </c>
      <c r="D26" s="22" t="n">
        <f aca="false">C26/'RAB Borongan'!L73</f>
        <v>0.0200515776601397</v>
      </c>
    </row>
    <row r="27" customFormat="false" ht="15" hidden="false" customHeight="true" outlineLevel="0" collapsed="false">
      <c r="A27" s="20" t="s">
        <v>36</v>
      </c>
      <c r="B27" s="21" t="n">
        <f aca="false">'RAB Swakelola'!J32</f>
        <v>13714770.829</v>
      </c>
      <c r="C27" s="21" t="n">
        <f aca="false">'RAB Borongan'!L32</f>
        <v>15771986.45335</v>
      </c>
      <c r="D27" s="22" t="n">
        <f aca="false">C27/'RAB Borongan'!L73</f>
        <v>0.0676533082817181</v>
      </c>
    </row>
    <row r="28" customFormat="false" ht="15" hidden="false" customHeight="true" outlineLevel="0" collapsed="false">
      <c r="A28" s="20" t="s">
        <v>37</v>
      </c>
      <c r="B28" s="21" t="n">
        <f aca="false">'RAB Swakelola'!J38</f>
        <v>18595820</v>
      </c>
      <c r="C28" s="21" t="n">
        <f aca="false">'RAB Borongan'!L38</f>
        <v>21385193</v>
      </c>
      <c r="D28" s="22" t="n">
        <f aca="false">C28/'RAB Borongan'!L73</f>
        <v>0.0917309343989286</v>
      </c>
    </row>
    <row r="29" customFormat="false" ht="15" hidden="false" customHeight="true" outlineLevel="0" collapsed="false">
      <c r="A29" s="20" t="s">
        <v>38</v>
      </c>
      <c r="B29" s="21" t="n">
        <f aca="false">'RAB Swakelola'!J44</f>
        <v>10621921.3236521</v>
      </c>
      <c r="C29" s="21" t="n">
        <f aca="false">'RAB Borongan'!L44</f>
        <v>12215209.5221999</v>
      </c>
      <c r="D29" s="22" t="n">
        <f aca="false">C29/'RAB Borongan'!L73</f>
        <v>0.0523966551693075</v>
      </c>
    </row>
    <row r="30" customFormat="false" ht="15" hidden="false" customHeight="true" outlineLevel="0" collapsed="false">
      <c r="A30" s="20" t="s">
        <v>39</v>
      </c>
      <c r="B30" s="21" t="n">
        <f aca="false">'RAB Swakelola'!J47</f>
        <v>14641309.68</v>
      </c>
      <c r="C30" s="21" t="n">
        <f aca="false">'RAB Borongan'!L47</f>
        <v>16837506.132</v>
      </c>
      <c r="D30" s="22" t="n">
        <f aca="false">C30/'RAB Borongan'!L73</f>
        <v>0.0722238125433823</v>
      </c>
    </row>
    <row r="31" customFormat="false" ht="15" hidden="false" customHeight="true" outlineLevel="0" collapsed="false">
      <c r="A31" s="20" t="s">
        <v>40</v>
      </c>
      <c r="B31" s="21" t="n">
        <f aca="false">'RAB Swakelola'!J59</f>
        <v>8847670</v>
      </c>
      <c r="C31" s="21" t="n">
        <f aca="false">'RAB Borongan'!L59</f>
        <v>10174820.5</v>
      </c>
      <c r="D31" s="22" t="n">
        <f aca="false">C31/'RAB Borongan'!L73</f>
        <v>0.0436444876511694</v>
      </c>
    </row>
    <row r="32" customFormat="false" ht="15" hidden="false" customHeight="true" outlineLevel="0" collapsed="false">
      <c r="A32" s="20" t="s">
        <v>41</v>
      </c>
      <c r="B32" s="21" t="n">
        <f aca="false">'RAB Swakelola'!J63</f>
        <v>4492700</v>
      </c>
      <c r="C32" s="21" t="n">
        <f aca="false">'RAB Borongan'!L63</f>
        <v>5166605</v>
      </c>
      <c r="D32" s="22" t="n">
        <f aca="false">C32/'RAB Borongan'!L73</f>
        <v>0.0221619465543368</v>
      </c>
    </row>
    <row r="33" customFormat="false" ht="15" hidden="false" customHeight="true" outlineLevel="0" collapsed="false">
      <c r="A33" s="20" t="s">
        <v>42</v>
      </c>
      <c r="B33" s="21" t="n">
        <f aca="false">'RAB Swakelola'!J65</f>
        <v>26698744.182792</v>
      </c>
      <c r="C33" s="21" t="n">
        <f aca="false">'RAB Borongan'!L65</f>
        <v>30703555.8102108</v>
      </c>
      <c r="D33" s="22" t="n">
        <f aca="false">C33/'RAB Borongan'!L73</f>
        <v>0.131701680870511</v>
      </c>
    </row>
    <row r="34" customFormat="false" ht="15" hidden="false" customHeight="true" outlineLevel="0" collapsed="false">
      <c r="A34" s="23" t="s">
        <v>43</v>
      </c>
      <c r="B34" s="24"/>
      <c r="C34" s="24"/>
      <c r="D34" s="24"/>
    </row>
    <row r="36" customFormat="false" ht="30" hidden="false" customHeight="true" outlineLevel="0" collapsed="false">
      <c r="A36" s="5" t="s">
        <v>44</v>
      </c>
      <c r="B36" s="5" t="s">
        <v>11</v>
      </c>
      <c r="C36" s="5" t="s">
        <v>12</v>
      </c>
      <c r="D36" s="5" t="s">
        <v>45</v>
      </c>
    </row>
    <row r="37" customFormat="false" ht="15" hidden="false" customHeight="true" outlineLevel="0" collapsed="false">
      <c r="A37" s="25" t="s">
        <v>46</v>
      </c>
      <c r="B37" s="26" t="n">
        <f aca="false">'Kontrol Harga'!B13</f>
        <v>4645936.06292883</v>
      </c>
      <c r="C37" s="26" t="n">
        <f aca="false">'Kontrol Harga'!B12</f>
        <v>5342826.47236815</v>
      </c>
      <c r="D37" s="25" t="str">
        <f aca="false">'Kontrol Harga'!D12</f>
        <v>Dalam rentang pasar</v>
      </c>
    </row>
    <row r="38" customFormat="false" ht="15" hidden="false" customHeight="true" outlineLevel="0" collapsed="false">
      <c r="A38" s="20" t="s">
        <v>47</v>
      </c>
      <c r="B38" s="20" t="str">
        <f aca="false">'Kontrol Harga'!C13</f>
        <v>4,347,826 – 6,086,957</v>
      </c>
      <c r="C38" s="20" t="str">
        <f aca="false">'Kontrol Harga'!C12</f>
        <v>5,000,000 – 7,000,000</v>
      </c>
      <c r="D38" s="20" t="str">
        <f aca="false">'Kontrol Harga'!D13</f>
        <v>Dalam rentang pasar</v>
      </c>
    </row>
    <row r="39" customFormat="false" ht="15" hidden="false" customHeight="true" outlineLevel="0" collapsed="false">
      <c r="A39" s="20" t="s">
        <v>48</v>
      </c>
      <c r="B39" s="21" t="n">
        <f aca="false">'Kontrol Harga'!B14</f>
        <v>1678954.07811849</v>
      </c>
      <c r="C39" s="20" t="str">
        <f aca="false">'Kontrol Harga'!C14</f>
        <v>1,000,000 – 1,800,000</v>
      </c>
      <c r="D39" s="20" t="str">
        <f aca="false">'Kontrol Harga'!D14</f>
        <v>Dalam rentang pasar</v>
      </c>
    </row>
    <row r="40" customFormat="false" ht="45.75" hidden="false" customHeight="true" outlineLevel="0" collapsed="false">
      <c r="A40" s="23" t="s">
        <v>49</v>
      </c>
      <c r="B40" s="24"/>
      <c r="C40" s="24"/>
      <c r="D40" s="24"/>
    </row>
    <row r="42" customFormat="false" ht="15" hidden="false" customHeight="true" outlineLevel="0" collapsed="false">
      <c r="A42" s="27" t="s">
        <v>50</v>
      </c>
    </row>
    <row r="43" customFormat="false" ht="15" hidden="false" customHeight="true" outlineLevel="0" collapsed="false">
      <c r="A43" s="28" t="s">
        <v>51</v>
      </c>
    </row>
    <row r="44" customFormat="false" ht="15" hidden="false" customHeight="true" outlineLevel="0" collapsed="false">
      <c r="A44" s="28" t="s">
        <v>52</v>
      </c>
    </row>
    <row r="45" customFormat="false" ht="15" hidden="false" customHeight="true" outlineLevel="0" collapsed="false">
      <c r="A45" s="28" t="s">
        <v>53</v>
      </c>
    </row>
    <row r="46" customFormat="false" ht="15" hidden="false" customHeight="true" outlineLevel="0" collapsed="false">
      <c r="A46" s="28" t="s">
        <v>54</v>
      </c>
    </row>
    <row r="48" customFormat="false" ht="15" hidden="false" customHeight="false" outlineLevel="0" collapsed="false">
      <c r="A48" s="29" t="s">
        <v>55</v>
      </c>
    </row>
    <row r="49" customFormat="false" ht="15" hidden="false" customHeight="false" outlineLevel="0" collapsed="false">
      <c r="A49" s="30" t="s">
        <v>56</v>
      </c>
      <c r="B49" s="31" t="s">
        <v>57</v>
      </c>
    </row>
    <row r="50" customFormat="false" ht="15" hidden="false" customHeight="false" outlineLevel="0" collapsed="false">
      <c r="A50" s="32" t="s">
        <v>56</v>
      </c>
      <c r="B50" s="31" t="s">
        <v>58</v>
      </c>
    </row>
    <row r="51" customFormat="false" ht="15" hidden="false" customHeight="false" outlineLevel="0" collapsed="false">
      <c r="A51" s="33" t="s">
        <v>59</v>
      </c>
      <c r="B51" s="31" t="s">
        <v>60</v>
      </c>
    </row>
    <row r="52" customFormat="false" ht="15" hidden="false" customHeight="false" outlineLevel="0" collapsed="false">
      <c r="A52" s="34" t="s">
        <v>56</v>
      </c>
      <c r="B52" s="31" t="s">
        <v>61</v>
      </c>
    </row>
  </sheetData>
  <conditionalFormatting sqref="D37">
    <cfRule type="expression" priority="2" aboveAverage="0" equalAverage="0" bottom="0" percent="0" rank="0" text="" dxfId="0">
      <formula>LEFT($D37,5)="Dalam"</formula>
    </cfRule>
    <cfRule type="expression" priority="3" aboveAverage="0" equalAverage="0" bottom="0" percent="0" rank="0" text="" dxfId="1">
      <formula>LEFT($D37,8)="Di bawah"</formula>
    </cfRule>
    <cfRule type="expression" priority="4" aboveAverage="0" equalAverage="0" bottom="0" percent="0" rank="0" text="" dxfId="2">
      <formula>LEFT($D37,8)="Di atas "</formula>
    </cfRule>
  </conditionalFormatting>
  <conditionalFormatting sqref="D38">
    <cfRule type="expression" priority="5" aboveAverage="0" equalAverage="0" bottom="0" percent="0" rank="0" text="" dxfId="0">
      <formula>LEFT($D38,5)="Dalam"</formula>
    </cfRule>
    <cfRule type="expression" priority="6" aboveAverage="0" equalAverage="0" bottom="0" percent="0" rank="0" text="" dxfId="1">
      <formula>LEFT($D38,8)="Di bawah"</formula>
    </cfRule>
    <cfRule type="expression" priority="7" aboveAverage="0" equalAverage="0" bottom="0" percent="0" rank="0" text="" dxfId="2">
      <formula>LEFT($D38,8)="Di atas "</formula>
    </cfRule>
  </conditionalFormatting>
  <conditionalFormatting sqref="D39">
    <cfRule type="expression" priority="8" aboveAverage="0" equalAverage="0" bottom="0" percent="0" rank="0" text="" dxfId="0">
      <formula>LEFT($D39,5)="Dalam"</formula>
    </cfRule>
    <cfRule type="expression" priority="9" aboveAverage="0" equalAverage="0" bottom="0" percent="0" rank="0" text="" dxfId="1">
      <formula>LEFT($D39,8)="Di bawah"</formula>
    </cfRule>
    <cfRule type="expression" priority="10" aboveAverage="0" equalAverage="0" bottom="0" percent="0" rank="0" text="" dxfId="2">
      <formula>LEFT($D39,8)="Di atas 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M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3"/>
    <col collapsed="false" customWidth="true" hidden="false" outlineLevel="0" max="2" min="2" style="1" width="48"/>
    <col collapsed="false" customWidth="true" hidden="false" outlineLevel="0" max="3" min="3" style="1" width="9"/>
    <col collapsed="false" customWidth="true" hidden="false" outlineLevel="0" max="4" min="4" style="1" width="7.2"/>
    <col collapsed="false" customWidth="true" hidden="false" outlineLevel="0" max="6" min="5" style="1" width="13.9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17.4"/>
    <col collapsed="false" customWidth="true" hidden="false" outlineLevel="0" max="11" min="11" style="1" width="30"/>
    <col collapsed="false" customWidth="true" hidden="false" outlineLevel="0" max="12" min="12" style="1" width="13.6"/>
    <col collapsed="false" customWidth="true" hidden="false" outlineLevel="0" max="13" min="13" style="1" width="12"/>
  </cols>
  <sheetData>
    <row r="1" customFormat="false" ht="25.5" hidden="false" customHeight="true" outlineLevel="0" collapsed="false">
      <c r="A1" s="2" t="s">
        <v>62</v>
      </c>
    </row>
    <row r="2" customFormat="false" ht="18" hidden="false" customHeight="true" outlineLevel="0" collapsed="false">
      <c r="A2" s="3" t="s">
        <v>63</v>
      </c>
    </row>
    <row r="4" customFormat="false" ht="30" hidden="false" customHeight="true" outlineLevel="0" collapsed="false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71</v>
      </c>
      <c r="I4" s="5" t="s">
        <v>72</v>
      </c>
      <c r="J4" s="5" t="s">
        <v>73</v>
      </c>
      <c r="K4" s="5" t="s">
        <v>74</v>
      </c>
      <c r="L4" s="5" t="s">
        <v>75</v>
      </c>
      <c r="M4" s="5" t="s">
        <v>76</v>
      </c>
    </row>
    <row r="5" customFormat="false" ht="15" hidden="false" customHeight="true" outlineLevel="0" collapsed="false">
      <c r="A5" s="35" t="s">
        <v>77</v>
      </c>
      <c r="B5" s="35" t="s">
        <v>78</v>
      </c>
      <c r="C5" s="35"/>
      <c r="D5" s="35"/>
      <c r="E5" s="35"/>
      <c r="F5" s="35"/>
      <c r="G5" s="35"/>
      <c r="H5" s="36" t="n">
        <f aca="false">SUM(H6:H8)</f>
        <v>1608000</v>
      </c>
      <c r="I5" s="36" t="n">
        <f aca="false">SUM(I6:I8)</f>
        <v>2506860</v>
      </c>
      <c r="J5" s="36" t="n">
        <f aca="false">SUM(J6:J8)</f>
        <v>4114860</v>
      </c>
      <c r="K5" s="35"/>
      <c r="L5" s="35"/>
      <c r="M5" s="35"/>
    </row>
    <row r="6" customFormat="false" ht="15" hidden="false" customHeight="true" outlineLevel="0" collapsed="false">
      <c r="A6" s="37" t="s">
        <v>79</v>
      </c>
      <c r="B6" s="20" t="s">
        <v>80</v>
      </c>
      <c r="C6" s="38" t="n">
        <f aca="false">AHSP!$K$5</f>
        <v>36</v>
      </c>
      <c r="D6" s="37" t="s">
        <v>81</v>
      </c>
      <c r="E6" s="39" t="n">
        <f aca="false">AHSP!$G$12</f>
        <v>3000</v>
      </c>
      <c r="F6" s="39" t="n">
        <f aca="false">AHSP!$G$9</f>
        <v>15260</v>
      </c>
      <c r="G6" s="21" t="n">
        <f aca="false">SUM(E6:F6)</f>
        <v>18260</v>
      </c>
      <c r="H6" s="21" t="n">
        <f aca="false">C6*E6</f>
        <v>108000</v>
      </c>
      <c r="I6" s="21" t="n">
        <f aca="false">C6*F6</f>
        <v>549360</v>
      </c>
      <c r="J6" s="26" t="n">
        <f aca="false">C6*G6</f>
        <v>657360</v>
      </c>
      <c r="K6" s="20"/>
      <c r="L6" s="40" t="s">
        <v>82</v>
      </c>
      <c r="M6" s="37" t="s">
        <v>83</v>
      </c>
    </row>
    <row r="7" customFormat="false" ht="15" hidden="false" customHeight="true" outlineLevel="0" collapsed="false">
      <c r="A7" s="41" t="s">
        <v>84</v>
      </c>
      <c r="B7" s="42" t="s">
        <v>85</v>
      </c>
      <c r="C7" s="43" t="n">
        <f aca="false">AHSP!$K$17</f>
        <v>1</v>
      </c>
      <c r="D7" s="41" t="s">
        <v>86</v>
      </c>
      <c r="E7" s="44" t="n">
        <f aca="false">AHSP!$G$22</f>
        <v>0</v>
      </c>
      <c r="F7" s="44" t="n">
        <f aca="false">AHSP!$G$20</f>
        <v>1957500</v>
      </c>
      <c r="G7" s="45" t="n">
        <f aca="false">SUM(E7:F7)</f>
        <v>1957500</v>
      </c>
      <c r="H7" s="45" t="n">
        <f aca="false">C7*E7</f>
        <v>0</v>
      </c>
      <c r="I7" s="45" t="n">
        <f aca="false">C7*F7</f>
        <v>1957500</v>
      </c>
      <c r="J7" s="46" t="n">
        <f aca="false">C7*G7</f>
        <v>1957500</v>
      </c>
      <c r="K7" s="42"/>
      <c r="L7" s="47" t="s">
        <v>59</v>
      </c>
      <c r="M7" s="41" t="s">
        <v>83</v>
      </c>
    </row>
    <row r="8" customFormat="false" ht="15" hidden="false" customHeight="true" outlineLevel="0" collapsed="false">
      <c r="A8" s="37" t="s">
        <v>87</v>
      </c>
      <c r="B8" s="20" t="s">
        <v>88</v>
      </c>
      <c r="C8" s="38" t="n">
        <f aca="false">AHSP!$K$27</f>
        <v>1</v>
      </c>
      <c r="D8" s="37" t="s">
        <v>86</v>
      </c>
      <c r="E8" s="39" t="n">
        <f aca="false">AHSP!$G$32</f>
        <v>1500000</v>
      </c>
      <c r="F8" s="39" t="n">
        <f aca="false">AHSP!$G$29</f>
        <v>0</v>
      </c>
      <c r="G8" s="21" t="n">
        <f aca="false">SUM(E8:F8)</f>
        <v>1500000</v>
      </c>
      <c r="H8" s="21" t="n">
        <f aca="false">C8*E8</f>
        <v>1500000</v>
      </c>
      <c r="I8" s="21" t="n">
        <f aca="false">C8*F8</f>
        <v>0</v>
      </c>
      <c r="J8" s="26" t="n">
        <f aca="false">C8*G8</f>
        <v>1500000</v>
      </c>
      <c r="K8" s="20"/>
      <c r="L8" s="47" t="s">
        <v>59</v>
      </c>
      <c r="M8" s="37" t="s">
        <v>83</v>
      </c>
    </row>
    <row r="9" customFormat="false" ht="15" hidden="false" customHeight="true" outlineLevel="0" collapsed="false">
      <c r="A9" s="35" t="s">
        <v>89</v>
      </c>
      <c r="B9" s="35" t="s">
        <v>90</v>
      </c>
      <c r="C9" s="35"/>
      <c r="D9" s="35"/>
      <c r="E9" s="35"/>
      <c r="F9" s="35"/>
      <c r="G9" s="35"/>
      <c r="H9" s="36" t="n">
        <f aca="false">SUM(H10:H15)</f>
        <v>12412117.3365</v>
      </c>
      <c r="I9" s="36" t="n">
        <f aca="false">SUM(I10:I15)</f>
        <v>5569054.4331</v>
      </c>
      <c r="J9" s="36" t="n">
        <f aca="false">SUM(J10:J15)</f>
        <v>17981171.7696</v>
      </c>
      <c r="K9" s="35"/>
      <c r="L9" s="35"/>
      <c r="M9" s="35"/>
    </row>
    <row r="10" customFormat="false" ht="15" hidden="false" customHeight="true" outlineLevel="0" collapsed="false">
      <c r="A10" s="37" t="s">
        <v>91</v>
      </c>
      <c r="B10" s="20" t="s">
        <v>92</v>
      </c>
      <c r="C10" s="38" t="n">
        <f aca="false">AHSP!$K$37</f>
        <v>24.84</v>
      </c>
      <c r="D10" s="37" t="s">
        <v>93</v>
      </c>
      <c r="E10" s="39" t="n">
        <f aca="false">AHSP!$G$43</f>
        <v>0</v>
      </c>
      <c r="F10" s="39" t="n">
        <f aca="false">AHSP!$G$41</f>
        <v>88056.54</v>
      </c>
      <c r="G10" s="21" t="n">
        <f aca="false">SUM(E10:F10)</f>
        <v>88056.54</v>
      </c>
      <c r="H10" s="21" t="n">
        <f aca="false">C10*E10</f>
        <v>0</v>
      </c>
      <c r="I10" s="21" t="n">
        <f aca="false">C10*F10</f>
        <v>2187324.4536</v>
      </c>
      <c r="J10" s="26" t="n">
        <f aca="false">C10*G10</f>
        <v>2187324.4536</v>
      </c>
      <c r="K10" s="20"/>
      <c r="L10" s="40" t="s">
        <v>82</v>
      </c>
      <c r="M10" s="37" t="s">
        <v>83</v>
      </c>
    </row>
    <row r="11" customFormat="false" ht="15" hidden="false" customHeight="true" outlineLevel="0" collapsed="false">
      <c r="A11" s="41" t="s">
        <v>94</v>
      </c>
      <c r="B11" s="42" t="s">
        <v>95</v>
      </c>
      <c r="C11" s="43" t="n">
        <f aca="false">AHSP!$K$48</f>
        <v>1.5525</v>
      </c>
      <c r="D11" s="41" t="s">
        <v>93</v>
      </c>
      <c r="E11" s="44" t="n">
        <f aca="false">AHSP!$G$55</f>
        <v>250800</v>
      </c>
      <c r="F11" s="44" t="n">
        <f aca="false">AHSP!$G$52</f>
        <v>35218.05</v>
      </c>
      <c r="G11" s="45" t="n">
        <f aca="false">SUM(E11:F11)</f>
        <v>286018.05</v>
      </c>
      <c r="H11" s="45" t="n">
        <f aca="false">C11*E11</f>
        <v>389367</v>
      </c>
      <c r="I11" s="45" t="n">
        <f aca="false">C11*F11</f>
        <v>54676.022625</v>
      </c>
      <c r="J11" s="46" t="n">
        <f aca="false">C11*G11</f>
        <v>444043.022625</v>
      </c>
      <c r="K11" s="42"/>
      <c r="L11" s="48" t="s">
        <v>82</v>
      </c>
      <c r="M11" s="41" t="s">
        <v>83</v>
      </c>
    </row>
    <row r="12" customFormat="false" ht="15" hidden="false" customHeight="true" outlineLevel="0" collapsed="false">
      <c r="A12" s="37" t="s">
        <v>96</v>
      </c>
      <c r="B12" s="20" t="s">
        <v>97</v>
      </c>
      <c r="C12" s="38" t="n">
        <f aca="false">AHSP!$K$60</f>
        <v>10.35</v>
      </c>
      <c r="D12" s="37" t="s">
        <v>93</v>
      </c>
      <c r="E12" s="39" t="n">
        <f aca="false">AHSP!$G$71</f>
        <v>850255.65</v>
      </c>
      <c r="F12" s="39" t="n">
        <f aca="false">AHSP!$G$66</f>
        <v>215559</v>
      </c>
      <c r="G12" s="21" t="n">
        <f aca="false">SUM(E12:F12)</f>
        <v>1065814.65</v>
      </c>
      <c r="H12" s="21" t="n">
        <f aca="false">C12*E12</f>
        <v>8800145.9775</v>
      </c>
      <c r="I12" s="21" t="n">
        <f aca="false">C12*F12</f>
        <v>2231035.65</v>
      </c>
      <c r="J12" s="26" t="n">
        <f aca="false">C12*G12</f>
        <v>11031181.6275</v>
      </c>
      <c r="K12" s="20"/>
      <c r="L12" s="40" t="s">
        <v>82</v>
      </c>
      <c r="M12" s="37" t="s">
        <v>83</v>
      </c>
    </row>
    <row r="13" customFormat="false" ht="15" hidden="false" customHeight="true" outlineLevel="0" collapsed="false">
      <c r="A13" s="41" t="s">
        <v>98</v>
      </c>
      <c r="B13" s="42" t="s">
        <v>99</v>
      </c>
      <c r="C13" s="43" t="n">
        <f aca="false">AHSP!$K$76</f>
        <v>12.9375</v>
      </c>
      <c r="D13" s="41" t="s">
        <v>93</v>
      </c>
      <c r="E13" s="44" t="n">
        <f aca="false">AHSP!$G$82</f>
        <v>0</v>
      </c>
      <c r="F13" s="44" t="n">
        <f aca="false">AHSP!$G$80</f>
        <v>53399.67</v>
      </c>
      <c r="G13" s="45" t="n">
        <f aca="false">SUM(E13:F13)</f>
        <v>53399.67</v>
      </c>
      <c r="H13" s="45" t="n">
        <f aca="false">C13*E13</f>
        <v>0</v>
      </c>
      <c r="I13" s="45" t="n">
        <f aca="false">C13*F13</f>
        <v>690858.230625</v>
      </c>
      <c r="J13" s="46" t="n">
        <f aca="false">C13*G13</f>
        <v>690858.230625</v>
      </c>
      <c r="K13" s="42"/>
      <c r="L13" s="48" t="s">
        <v>82</v>
      </c>
      <c r="M13" s="41" t="s">
        <v>83</v>
      </c>
    </row>
    <row r="14" customFormat="false" ht="15" hidden="false" customHeight="true" outlineLevel="0" collapsed="false">
      <c r="A14" s="37" t="s">
        <v>100</v>
      </c>
      <c r="B14" s="20" t="s">
        <v>101</v>
      </c>
      <c r="C14" s="38" t="n">
        <f aca="false">AHSP!$K$87</f>
        <v>4.05</v>
      </c>
      <c r="D14" s="37" t="s">
        <v>93</v>
      </c>
      <c r="E14" s="39" t="n">
        <f aca="false">AHSP!$G$94</f>
        <v>250800</v>
      </c>
      <c r="F14" s="39" t="n">
        <f aca="false">AHSP!$G$91</f>
        <v>35218.05</v>
      </c>
      <c r="G14" s="21" t="n">
        <f aca="false">SUM(E14:F14)</f>
        <v>286018.05</v>
      </c>
      <c r="H14" s="21" t="n">
        <f aca="false">C14*E14</f>
        <v>1015740</v>
      </c>
      <c r="I14" s="21" t="n">
        <f aca="false">C14*F14</f>
        <v>142633.1025</v>
      </c>
      <c r="J14" s="26" t="n">
        <f aca="false">C14*G14</f>
        <v>1158373.1025</v>
      </c>
      <c r="K14" s="20"/>
      <c r="L14" s="40" t="s">
        <v>82</v>
      </c>
      <c r="M14" s="37" t="s">
        <v>83</v>
      </c>
    </row>
    <row r="15" customFormat="false" ht="15" hidden="false" customHeight="true" outlineLevel="0" collapsed="false">
      <c r="A15" s="41" t="s">
        <v>102</v>
      </c>
      <c r="B15" s="42" t="s">
        <v>103</v>
      </c>
      <c r="C15" s="43" t="n">
        <f aca="false">AHSP!$K$99</f>
        <v>2.025</v>
      </c>
      <c r="D15" s="41" t="s">
        <v>93</v>
      </c>
      <c r="E15" s="44" t="n">
        <f aca="false">AHSP!$G$110</f>
        <v>1089809.56</v>
      </c>
      <c r="F15" s="44" t="n">
        <f aca="false">AHSP!$G$105</f>
        <v>129642.95</v>
      </c>
      <c r="G15" s="45" t="n">
        <f aca="false">SUM(E15:F15)</f>
        <v>1219452.51</v>
      </c>
      <c r="H15" s="45" t="n">
        <f aca="false">C15*E15</f>
        <v>2206864.359</v>
      </c>
      <c r="I15" s="45" t="n">
        <f aca="false">C15*F15</f>
        <v>262526.97375</v>
      </c>
      <c r="J15" s="46" t="n">
        <f aca="false">C15*G15</f>
        <v>2469391.33275</v>
      </c>
      <c r="K15" s="42"/>
      <c r="L15" s="48" t="s">
        <v>82</v>
      </c>
      <c r="M15" s="41" t="s">
        <v>83</v>
      </c>
    </row>
    <row r="16" customFormat="false" ht="15" hidden="false" customHeight="true" outlineLevel="0" collapsed="false">
      <c r="A16" s="35" t="s">
        <v>104</v>
      </c>
      <c r="B16" s="35" t="s">
        <v>105</v>
      </c>
      <c r="C16" s="35"/>
      <c r="D16" s="35"/>
      <c r="E16" s="35"/>
      <c r="F16" s="35"/>
      <c r="G16" s="35"/>
      <c r="H16" s="36" t="n">
        <f aca="false">SUM(H17:H21)</f>
        <v>10978232.9784758</v>
      </c>
      <c r="I16" s="36" t="n">
        <f aca="false">SUM(I17:I21)</f>
        <v>4387790.08710952</v>
      </c>
      <c r="J16" s="36" t="n">
        <f aca="false">SUM(J17:J21)</f>
        <v>15366023.0655853</v>
      </c>
      <c r="K16" s="35"/>
      <c r="L16" s="35"/>
      <c r="M16" s="35"/>
    </row>
    <row r="17" customFormat="false" ht="15" hidden="false" customHeight="true" outlineLevel="0" collapsed="false">
      <c r="A17" s="37" t="s">
        <v>106</v>
      </c>
      <c r="B17" s="20" t="s">
        <v>107</v>
      </c>
      <c r="C17" s="38" t="n">
        <f aca="false">AHSP!$K$115</f>
        <v>1.035</v>
      </c>
      <c r="D17" s="37" t="s">
        <v>93</v>
      </c>
      <c r="E17" s="39" t="n">
        <f aca="false">AHSP!$G$135</f>
        <v>3356449.49719772</v>
      </c>
      <c r="F17" s="39" t="n">
        <f aca="false">AHSP!$G$123</f>
        <v>1341761.96</v>
      </c>
      <c r="G17" s="21" t="n">
        <f aca="false">SUM(E17:F17)</f>
        <v>4698211.45719772</v>
      </c>
      <c r="H17" s="21" t="n">
        <f aca="false">C17*E17</f>
        <v>3473925.22959964</v>
      </c>
      <c r="I17" s="21" t="n">
        <f aca="false">C17*F17</f>
        <v>1388723.6286</v>
      </c>
      <c r="J17" s="26" t="n">
        <f aca="false">C17*G17</f>
        <v>4862648.85819964</v>
      </c>
      <c r="K17" s="20"/>
      <c r="L17" s="40" t="s">
        <v>82</v>
      </c>
      <c r="M17" s="37" t="s">
        <v>83</v>
      </c>
    </row>
    <row r="18" customFormat="false" ht="15" hidden="false" customHeight="true" outlineLevel="0" collapsed="false">
      <c r="A18" s="41" t="s">
        <v>108</v>
      </c>
      <c r="B18" s="42" t="s">
        <v>109</v>
      </c>
      <c r="C18" s="43" t="n">
        <f aca="false">AHSP!$K$140</f>
        <v>0.864</v>
      </c>
      <c r="D18" s="41" t="s">
        <v>93</v>
      </c>
      <c r="E18" s="44" t="n">
        <f aca="false">AHSP!$G$160</f>
        <v>3761682.2127027</v>
      </c>
      <c r="F18" s="44" t="n">
        <f aca="false">AHSP!$G$148</f>
        <v>1415137.41</v>
      </c>
      <c r="G18" s="45" t="n">
        <f aca="false">SUM(E18:F18)</f>
        <v>5176819.6227027</v>
      </c>
      <c r="H18" s="45" t="n">
        <f aca="false">C18*E18</f>
        <v>3250093.43177513</v>
      </c>
      <c r="I18" s="45" t="n">
        <f aca="false">C18*F18</f>
        <v>1222678.72224</v>
      </c>
      <c r="J18" s="46" t="n">
        <f aca="false">C18*G18</f>
        <v>4472772.15401514</v>
      </c>
      <c r="K18" s="42"/>
      <c r="L18" s="48" t="s">
        <v>82</v>
      </c>
      <c r="M18" s="41" t="s">
        <v>83</v>
      </c>
    </row>
    <row r="19" customFormat="false" ht="15" hidden="false" customHeight="true" outlineLevel="0" collapsed="false">
      <c r="A19" s="37" t="s">
        <v>110</v>
      </c>
      <c r="B19" s="20" t="s">
        <v>111</v>
      </c>
      <c r="C19" s="38" t="n">
        <f aca="false">AHSP!$K$165</f>
        <v>0.621</v>
      </c>
      <c r="D19" s="37" t="s">
        <v>93</v>
      </c>
      <c r="E19" s="39" t="n">
        <f aca="false">AHSP!$G$185</f>
        <v>4370248.44820768</v>
      </c>
      <c r="F19" s="39" t="n">
        <f aca="false">AHSP!$G$173</f>
        <v>1730071.39</v>
      </c>
      <c r="G19" s="21" t="n">
        <f aca="false">SUM(E19:F19)</f>
        <v>6100319.83820768</v>
      </c>
      <c r="H19" s="21" t="n">
        <f aca="false">C19*E19</f>
        <v>2713924.28633697</v>
      </c>
      <c r="I19" s="21" t="n">
        <f aca="false">C19*F19</f>
        <v>1074374.33319</v>
      </c>
      <c r="J19" s="26" t="n">
        <f aca="false">C19*G19</f>
        <v>3788298.61952697</v>
      </c>
      <c r="K19" s="20"/>
      <c r="L19" s="40" t="s">
        <v>82</v>
      </c>
      <c r="M19" s="37" t="s">
        <v>83</v>
      </c>
    </row>
    <row r="20" customFormat="false" ht="15" hidden="false" customHeight="true" outlineLevel="0" collapsed="false">
      <c r="A20" s="41" t="s">
        <v>112</v>
      </c>
      <c r="B20" s="42" t="s">
        <v>113</v>
      </c>
      <c r="C20" s="43" t="n">
        <f aca="false">AHSP!$K$190</f>
        <v>0.16272</v>
      </c>
      <c r="D20" s="41" t="s">
        <v>93</v>
      </c>
      <c r="E20" s="44" t="n">
        <f aca="false">AHSP!$G$210</f>
        <v>4525388.91991117</v>
      </c>
      <c r="F20" s="44" t="n">
        <f aca="false">AHSP!$G$198</f>
        <v>2262695.29</v>
      </c>
      <c r="G20" s="45" t="n">
        <f aca="false">SUM(E20:F20)</f>
        <v>6788084.20991117</v>
      </c>
      <c r="H20" s="45" t="n">
        <f aca="false">C20*E20</f>
        <v>736371.285047946</v>
      </c>
      <c r="I20" s="45" t="n">
        <f aca="false">C20*F20</f>
        <v>368185.7775888</v>
      </c>
      <c r="J20" s="46" t="n">
        <f aca="false">C20*G20</f>
        <v>1104557.06263675</v>
      </c>
      <c r="K20" s="42"/>
      <c r="L20" s="48" t="s">
        <v>82</v>
      </c>
      <c r="M20" s="41" t="s">
        <v>83</v>
      </c>
    </row>
    <row r="21" customFormat="false" ht="15" hidden="false" customHeight="true" outlineLevel="0" collapsed="false">
      <c r="A21" s="37" t="s">
        <v>114</v>
      </c>
      <c r="B21" s="20" t="s">
        <v>115</v>
      </c>
      <c r="C21" s="38" t="n">
        <f aca="false">AHSP!$K$215</f>
        <v>0.199532253031935</v>
      </c>
      <c r="D21" s="37" t="s">
        <v>93</v>
      </c>
      <c r="E21" s="39" t="n">
        <f aca="false">AHSP!$G$235</f>
        <v>4029016.52991117</v>
      </c>
      <c r="F21" s="39" t="n">
        <f aca="false">AHSP!$G$223</f>
        <v>1673050.95</v>
      </c>
      <c r="G21" s="21" t="n">
        <f aca="false">SUM(E21:F21)</f>
        <v>5702067.47991117</v>
      </c>
      <c r="H21" s="21" t="n">
        <f aca="false">C21*E21</f>
        <v>803918.745716083</v>
      </c>
      <c r="I21" s="21" t="n">
        <f aca="false">C21*F21</f>
        <v>333827.625490719</v>
      </c>
      <c r="J21" s="26" t="n">
        <f aca="false">C21*G21</f>
        <v>1137746.3712068</v>
      </c>
      <c r="K21" s="20"/>
      <c r="L21" s="40" t="s">
        <v>82</v>
      </c>
      <c r="M21" s="37" t="s">
        <v>83</v>
      </c>
    </row>
    <row r="22" customFormat="false" ht="15" hidden="false" customHeight="true" outlineLevel="0" collapsed="false">
      <c r="A22" s="35" t="s">
        <v>116</v>
      </c>
      <c r="B22" s="35" t="s">
        <v>117</v>
      </c>
      <c r="C22" s="35"/>
      <c r="D22" s="35"/>
      <c r="E22" s="35"/>
      <c r="F22" s="35"/>
      <c r="G22" s="35"/>
      <c r="H22" s="36" t="n">
        <f aca="false">SUM(H23:H24)</f>
        <v>15971058.3268234</v>
      </c>
      <c r="I22" s="36" t="n">
        <f aca="false">SUM(I23:I24)</f>
        <v>18526162.4596087</v>
      </c>
      <c r="J22" s="36" t="n">
        <f aca="false">SUM(J23:J24)</f>
        <v>34497220.7864321</v>
      </c>
      <c r="K22" s="35"/>
      <c r="L22" s="35"/>
      <c r="M22" s="35"/>
    </row>
    <row r="23" customFormat="false" ht="15" hidden="false" customHeight="true" outlineLevel="0" collapsed="false">
      <c r="A23" s="37" t="s">
        <v>118</v>
      </c>
      <c r="B23" s="20" t="s">
        <v>119</v>
      </c>
      <c r="C23" s="38" t="n">
        <f aca="false">AHSP!$K$240</f>
        <v>106.502304845413</v>
      </c>
      <c r="D23" s="37" t="s">
        <v>81</v>
      </c>
      <c r="E23" s="39" t="n">
        <f aca="false">AHSP!$G$250</f>
        <v>105276.864</v>
      </c>
      <c r="F23" s="39" t="n">
        <f aca="false">AHSP!$G$246</f>
        <v>37256.1</v>
      </c>
      <c r="G23" s="21" t="n">
        <f aca="false">SUM(E23:F23)</f>
        <v>142532.964</v>
      </c>
      <c r="H23" s="21" t="n">
        <f aca="false">C23*E23</f>
        <v>11212228.6628971</v>
      </c>
      <c r="I23" s="21" t="n">
        <f aca="false">C23*F23</f>
        <v>3967860.5195512</v>
      </c>
      <c r="J23" s="26" t="n">
        <f aca="false">C23*G23</f>
        <v>15180089.1824483</v>
      </c>
      <c r="K23" s="20"/>
      <c r="L23" s="40" t="s">
        <v>82</v>
      </c>
      <c r="M23" s="37" t="s">
        <v>83</v>
      </c>
    </row>
    <row r="24" customFormat="false" ht="15" hidden="false" customHeight="true" outlineLevel="0" collapsed="false">
      <c r="A24" s="41" t="s">
        <v>120</v>
      </c>
      <c r="B24" s="42" t="s">
        <v>121</v>
      </c>
      <c r="C24" s="43" t="n">
        <f aca="false">AHSP!$K$255</f>
        <v>202.612304845413</v>
      </c>
      <c r="D24" s="41" t="s">
        <v>81</v>
      </c>
      <c r="E24" s="44" t="n">
        <f aca="false">AHSP!$G$265</f>
        <v>23487.3675</v>
      </c>
      <c r="F24" s="44" t="n">
        <f aca="false">AHSP!$G$261</f>
        <v>71853</v>
      </c>
      <c r="G24" s="45" t="n">
        <f aca="false">SUM(E24:F24)</f>
        <v>95340.3675</v>
      </c>
      <c r="H24" s="45" t="n">
        <f aca="false">C24*E24</f>
        <v>4758829.66392625</v>
      </c>
      <c r="I24" s="45" t="n">
        <f aca="false">C24*F24</f>
        <v>14558301.9400575</v>
      </c>
      <c r="J24" s="46" t="n">
        <f aca="false">C24*G24</f>
        <v>19317131.6039837</v>
      </c>
      <c r="K24" s="42"/>
      <c r="L24" s="48" t="s">
        <v>82</v>
      </c>
      <c r="M24" s="41" t="s">
        <v>83</v>
      </c>
    </row>
    <row r="25" customFormat="false" ht="15" hidden="false" customHeight="true" outlineLevel="0" collapsed="false">
      <c r="A25" s="35" t="s">
        <v>122</v>
      </c>
      <c r="B25" s="35" t="s">
        <v>123</v>
      </c>
      <c r="C25" s="35"/>
      <c r="D25" s="35"/>
      <c r="E25" s="35"/>
      <c r="F25" s="35"/>
      <c r="G25" s="35"/>
      <c r="H25" s="36" t="n">
        <f aca="false">SUM(H26:H29)</f>
        <v>22784786.941376</v>
      </c>
      <c r="I25" s="36" t="n">
        <f aca="false">SUM(I26:I29)</f>
        <v>6299480.72729238</v>
      </c>
      <c r="J25" s="36" t="n">
        <f aca="false">SUM(J26:J29)</f>
        <v>29084267.6686683</v>
      </c>
      <c r="K25" s="35"/>
      <c r="L25" s="35"/>
      <c r="M25" s="35"/>
    </row>
    <row r="26" customFormat="false" ht="15" hidden="false" customHeight="true" outlineLevel="0" collapsed="false">
      <c r="A26" s="37" t="s">
        <v>124</v>
      </c>
      <c r="B26" s="20" t="s">
        <v>125</v>
      </c>
      <c r="C26" s="38" t="n">
        <f aca="false">AHSP!$K$270</f>
        <v>59.8596759095804</v>
      </c>
      <c r="D26" s="37" t="s">
        <v>81</v>
      </c>
      <c r="E26" s="39" t="n">
        <f aca="false">AHSP!$G$274</f>
        <v>201600</v>
      </c>
      <c r="F26" s="39" t="n">
        <f aca="false">AHSP!$G$271</f>
        <v>0</v>
      </c>
      <c r="G26" s="21" t="n">
        <f aca="false">SUM(E26:F26)</f>
        <v>201600</v>
      </c>
      <c r="H26" s="21" t="n">
        <f aca="false">C26*E26</f>
        <v>12067710.6633714</v>
      </c>
      <c r="I26" s="21" t="n">
        <f aca="false">C26*F26</f>
        <v>0</v>
      </c>
      <c r="J26" s="26" t="n">
        <f aca="false">C26*G26</f>
        <v>12067710.6633714</v>
      </c>
      <c r="K26" s="49" t="s">
        <v>126</v>
      </c>
      <c r="L26" s="40" t="s">
        <v>82</v>
      </c>
      <c r="M26" s="37" t="s">
        <v>83</v>
      </c>
    </row>
    <row r="27" customFormat="false" ht="15" hidden="false" customHeight="true" outlineLevel="0" collapsed="false">
      <c r="A27" s="41" t="s">
        <v>127</v>
      </c>
      <c r="B27" s="42" t="s">
        <v>128</v>
      </c>
      <c r="C27" s="43" t="n">
        <f aca="false">AHSP!$K$279</f>
        <v>59.8596759095804</v>
      </c>
      <c r="D27" s="41" t="s">
        <v>81</v>
      </c>
      <c r="E27" s="44" t="n">
        <f aca="false">AHSP!$G$286</f>
        <v>128235</v>
      </c>
      <c r="F27" s="44" t="n">
        <f aca="false">AHSP!$G$283</f>
        <v>100505</v>
      </c>
      <c r="G27" s="45" t="n">
        <f aca="false">SUM(E27:F27)</f>
        <v>228740</v>
      </c>
      <c r="H27" s="45" t="n">
        <f aca="false">C27*E27</f>
        <v>7676105.54026504</v>
      </c>
      <c r="I27" s="45" t="n">
        <f aca="false">C27*F27</f>
        <v>6016196.72729238</v>
      </c>
      <c r="J27" s="46" t="n">
        <f aca="false">C27*G27</f>
        <v>13692302.2675574</v>
      </c>
      <c r="K27" s="42"/>
      <c r="L27" s="48" t="s">
        <v>82</v>
      </c>
      <c r="M27" s="41" t="s">
        <v>83</v>
      </c>
    </row>
    <row r="28" customFormat="false" ht="15" hidden="false" customHeight="true" outlineLevel="0" collapsed="false">
      <c r="A28" s="37" t="s">
        <v>129</v>
      </c>
      <c r="B28" s="20" t="s">
        <v>130</v>
      </c>
      <c r="C28" s="38" t="n">
        <f aca="false">AHSP!$K$291</f>
        <v>7.2</v>
      </c>
      <c r="D28" s="37" t="s">
        <v>131</v>
      </c>
      <c r="E28" s="39" t="n">
        <f aca="false">AHSP!$G$300</f>
        <v>34510.95</v>
      </c>
      <c r="F28" s="39" t="n">
        <f aca="false">AHSP!$G$295</f>
        <v>39345</v>
      </c>
      <c r="G28" s="21" t="n">
        <f aca="false">SUM(E28:F28)</f>
        <v>73855.95</v>
      </c>
      <c r="H28" s="21" t="n">
        <f aca="false">C28*E28</f>
        <v>248478.84</v>
      </c>
      <c r="I28" s="21" t="n">
        <f aca="false">C28*F28</f>
        <v>283284</v>
      </c>
      <c r="J28" s="26" t="n">
        <f aca="false">C28*G28</f>
        <v>531762.84</v>
      </c>
      <c r="K28" s="20"/>
      <c r="L28" s="40" t="s">
        <v>82</v>
      </c>
      <c r="M28" s="37" t="s">
        <v>83</v>
      </c>
    </row>
    <row r="29" customFormat="false" ht="15" hidden="false" customHeight="true" outlineLevel="0" collapsed="false">
      <c r="A29" s="41" t="s">
        <v>132</v>
      </c>
      <c r="B29" s="42" t="s">
        <v>133</v>
      </c>
      <c r="C29" s="43" t="n">
        <f aca="false">AHSP!$K$305</f>
        <v>31.0276877526612</v>
      </c>
      <c r="D29" s="41" t="s">
        <v>131</v>
      </c>
      <c r="E29" s="44" t="n">
        <f aca="false">AHSP!$G$309</f>
        <v>90000</v>
      </c>
      <c r="F29" s="44" t="n">
        <f aca="false">AHSP!$G$306</f>
        <v>0</v>
      </c>
      <c r="G29" s="45" t="n">
        <f aca="false">SUM(E29:F29)</f>
        <v>90000</v>
      </c>
      <c r="H29" s="45" t="n">
        <f aca="false">C29*E29</f>
        <v>2792491.89773951</v>
      </c>
      <c r="I29" s="45" t="n">
        <f aca="false">C29*F29</f>
        <v>0</v>
      </c>
      <c r="J29" s="46" t="n">
        <f aca="false">C29*G29</f>
        <v>2792491.89773951</v>
      </c>
      <c r="K29" s="50" t="s">
        <v>126</v>
      </c>
      <c r="L29" s="47" t="s">
        <v>59</v>
      </c>
      <c r="M29" s="41" t="s">
        <v>83</v>
      </c>
    </row>
    <row r="30" customFormat="false" ht="15" hidden="false" customHeight="true" outlineLevel="0" collapsed="false">
      <c r="A30" s="35" t="s">
        <v>134</v>
      </c>
      <c r="B30" s="35" t="s">
        <v>135</v>
      </c>
      <c r="C30" s="35"/>
      <c r="D30" s="35"/>
      <c r="E30" s="35"/>
      <c r="F30" s="35"/>
      <c r="G30" s="35"/>
      <c r="H30" s="36" t="n">
        <f aca="false">SUM(H31:H31)</f>
        <v>2121288.1425</v>
      </c>
      <c r="I30" s="36" t="n">
        <f aca="false">SUM(I31:I31)</f>
        <v>1943595</v>
      </c>
      <c r="J30" s="36" t="n">
        <f aca="false">SUM(J31:J31)</f>
        <v>4064883.1425</v>
      </c>
      <c r="K30" s="35"/>
      <c r="L30" s="35"/>
      <c r="M30" s="35"/>
    </row>
    <row r="31" customFormat="false" ht="15" hidden="false" customHeight="true" outlineLevel="0" collapsed="false">
      <c r="A31" s="37" t="s">
        <v>136</v>
      </c>
      <c r="B31" s="20" t="s">
        <v>137</v>
      </c>
      <c r="C31" s="38" t="n">
        <f aca="false">AHSP!$K$314</f>
        <v>40.5</v>
      </c>
      <c r="D31" s="37" t="s">
        <v>81</v>
      </c>
      <c r="E31" s="39" t="n">
        <f aca="false">AHSP!$G$323</f>
        <v>52377.485</v>
      </c>
      <c r="F31" s="39" t="n">
        <f aca="false">AHSP!$G$318</f>
        <v>47990</v>
      </c>
      <c r="G31" s="21" t="n">
        <f aca="false">SUM(E31:F31)</f>
        <v>100367.485</v>
      </c>
      <c r="H31" s="21" t="n">
        <f aca="false">C31*E31</f>
        <v>2121288.1425</v>
      </c>
      <c r="I31" s="21" t="n">
        <f aca="false">C31*F31</f>
        <v>1943595</v>
      </c>
      <c r="J31" s="26" t="n">
        <f aca="false">C31*G31</f>
        <v>4064883.1425</v>
      </c>
      <c r="K31" s="20"/>
      <c r="L31" s="40" t="s">
        <v>82</v>
      </c>
      <c r="M31" s="37" t="s">
        <v>83</v>
      </c>
    </row>
    <row r="32" customFormat="false" ht="15" hidden="false" customHeight="true" outlineLevel="0" collapsed="false">
      <c r="A32" s="35" t="s">
        <v>138</v>
      </c>
      <c r="B32" s="35" t="s">
        <v>139</v>
      </c>
      <c r="C32" s="35"/>
      <c r="D32" s="35"/>
      <c r="E32" s="35"/>
      <c r="F32" s="35"/>
      <c r="G32" s="35"/>
      <c r="H32" s="36" t="n">
        <f aca="false">SUM(H33:H37)</f>
        <v>8799479.379</v>
      </c>
      <c r="I32" s="36" t="n">
        <f aca="false">SUM(I33:I37)</f>
        <v>4915291.45</v>
      </c>
      <c r="J32" s="36" t="n">
        <f aca="false">SUM(J33:J37)</f>
        <v>13714770.829</v>
      </c>
      <c r="K32" s="35"/>
      <c r="L32" s="35"/>
      <c r="M32" s="35"/>
    </row>
    <row r="33" customFormat="false" ht="15" hidden="false" customHeight="true" outlineLevel="0" collapsed="false">
      <c r="A33" s="37" t="s">
        <v>140</v>
      </c>
      <c r="B33" s="20" t="s">
        <v>141</v>
      </c>
      <c r="C33" s="38" t="n">
        <f aca="false">AHSP!$K$328</f>
        <v>29.55</v>
      </c>
      <c r="D33" s="37" t="s">
        <v>81</v>
      </c>
      <c r="E33" s="39" t="n">
        <f aca="false">AHSP!$G$338</f>
        <v>177837.4</v>
      </c>
      <c r="F33" s="39" t="n">
        <f aca="false">AHSP!$G$332</f>
        <v>74775</v>
      </c>
      <c r="G33" s="21" t="n">
        <f aca="false">SUM(E33:F33)</f>
        <v>252612.4</v>
      </c>
      <c r="H33" s="21" t="n">
        <f aca="false">C33*E33</f>
        <v>5255095.17</v>
      </c>
      <c r="I33" s="21" t="n">
        <f aca="false">C33*F33</f>
        <v>2209601.25</v>
      </c>
      <c r="J33" s="26" t="n">
        <f aca="false">C33*G33</f>
        <v>7464696.42</v>
      </c>
      <c r="K33" s="20"/>
      <c r="L33" s="40" t="s">
        <v>82</v>
      </c>
      <c r="M33" s="37" t="s">
        <v>83</v>
      </c>
    </row>
    <row r="34" customFormat="false" ht="15" hidden="false" customHeight="true" outlineLevel="0" collapsed="false">
      <c r="A34" s="41" t="s">
        <v>142</v>
      </c>
      <c r="B34" s="42" t="s">
        <v>143</v>
      </c>
      <c r="C34" s="43" t="n">
        <f aca="false">AHSP!$K$343</f>
        <v>61</v>
      </c>
      <c r="D34" s="41" t="s">
        <v>131</v>
      </c>
      <c r="E34" s="44" t="n">
        <f aca="false">AHSP!$G$352</f>
        <v>16622.5</v>
      </c>
      <c r="F34" s="44" t="n">
        <f aca="false">AHSP!$G$347</f>
        <v>19896.5</v>
      </c>
      <c r="G34" s="45" t="n">
        <f aca="false">SUM(E34:F34)</f>
        <v>36519</v>
      </c>
      <c r="H34" s="45" t="n">
        <f aca="false">C34*E34</f>
        <v>1013972.5</v>
      </c>
      <c r="I34" s="45" t="n">
        <f aca="false">C34*F34</f>
        <v>1213686.5</v>
      </c>
      <c r="J34" s="46" t="n">
        <f aca="false">C34*G34</f>
        <v>2227659</v>
      </c>
      <c r="K34" s="42"/>
      <c r="L34" s="48" t="s">
        <v>82</v>
      </c>
      <c r="M34" s="41" t="s">
        <v>83</v>
      </c>
    </row>
    <row r="35" customFormat="false" ht="15" hidden="false" customHeight="true" outlineLevel="0" collapsed="false">
      <c r="A35" s="37" t="s">
        <v>144</v>
      </c>
      <c r="B35" s="20" t="s">
        <v>145</v>
      </c>
      <c r="C35" s="38" t="n">
        <f aca="false">AHSP!$K$357</f>
        <v>3</v>
      </c>
      <c r="D35" s="37" t="s">
        <v>81</v>
      </c>
      <c r="E35" s="39" t="n">
        <f aca="false">AHSP!$G$367</f>
        <v>139649.9</v>
      </c>
      <c r="F35" s="39" t="n">
        <f aca="false">AHSP!$G$361</f>
        <v>65153</v>
      </c>
      <c r="G35" s="21" t="n">
        <f aca="false">SUM(E35:F35)</f>
        <v>204802.9</v>
      </c>
      <c r="H35" s="21" t="n">
        <f aca="false">C35*E35</f>
        <v>418949.7</v>
      </c>
      <c r="I35" s="21" t="n">
        <f aca="false">C35*F35</f>
        <v>195459</v>
      </c>
      <c r="J35" s="26" t="n">
        <f aca="false">C35*G35</f>
        <v>614408.7</v>
      </c>
      <c r="K35" s="20"/>
      <c r="L35" s="40" t="s">
        <v>82</v>
      </c>
      <c r="M35" s="37" t="s">
        <v>83</v>
      </c>
    </row>
    <row r="36" customFormat="false" ht="15" hidden="false" customHeight="true" outlineLevel="0" collapsed="false">
      <c r="A36" s="41" t="s">
        <v>146</v>
      </c>
      <c r="B36" s="42" t="s">
        <v>147</v>
      </c>
      <c r="C36" s="43" t="n">
        <f aca="false">AHSP!$K$372</f>
        <v>15.4</v>
      </c>
      <c r="D36" s="41" t="s">
        <v>81</v>
      </c>
      <c r="E36" s="44" t="n">
        <f aca="false">AHSP!$G$382</f>
        <v>105724.835</v>
      </c>
      <c r="F36" s="44" t="n">
        <f aca="false">AHSP!$G$376</f>
        <v>65153</v>
      </c>
      <c r="G36" s="45" t="n">
        <f aca="false">SUM(E36:F36)</f>
        <v>170877.835</v>
      </c>
      <c r="H36" s="45" t="n">
        <f aca="false">C36*E36</f>
        <v>1628162.459</v>
      </c>
      <c r="I36" s="45" t="n">
        <f aca="false">C36*F36</f>
        <v>1003356.2</v>
      </c>
      <c r="J36" s="46" t="n">
        <f aca="false">C36*G36</f>
        <v>2631518.659</v>
      </c>
      <c r="K36" s="42"/>
      <c r="L36" s="48" t="s">
        <v>82</v>
      </c>
      <c r="M36" s="41" t="s">
        <v>83</v>
      </c>
    </row>
    <row r="37" customFormat="false" ht="15" hidden="false" customHeight="true" outlineLevel="0" collapsed="false">
      <c r="A37" s="37" t="s">
        <v>148</v>
      </c>
      <c r="B37" s="20" t="s">
        <v>149</v>
      </c>
      <c r="C37" s="38" t="n">
        <f aca="false">AHSP!$K$387</f>
        <v>4.5</v>
      </c>
      <c r="D37" s="37" t="s">
        <v>81</v>
      </c>
      <c r="E37" s="39" t="n">
        <f aca="false">AHSP!$G$397</f>
        <v>107399.9</v>
      </c>
      <c r="F37" s="39" t="n">
        <f aca="false">AHSP!$G$391</f>
        <v>65153</v>
      </c>
      <c r="G37" s="21" t="n">
        <f aca="false">SUM(E37:F37)</f>
        <v>172552.9</v>
      </c>
      <c r="H37" s="21" t="n">
        <f aca="false">C37*E37</f>
        <v>483299.55</v>
      </c>
      <c r="I37" s="21" t="n">
        <f aca="false">C37*F37</f>
        <v>293188.5</v>
      </c>
      <c r="J37" s="26" t="n">
        <f aca="false">C37*G37</f>
        <v>776488.05</v>
      </c>
      <c r="K37" s="20"/>
      <c r="L37" s="40" t="s">
        <v>82</v>
      </c>
      <c r="M37" s="37" t="s">
        <v>83</v>
      </c>
    </row>
    <row r="38" customFormat="false" ht="15" hidden="false" customHeight="true" outlineLevel="0" collapsed="false">
      <c r="A38" s="35" t="s">
        <v>150</v>
      </c>
      <c r="B38" s="35" t="s">
        <v>151</v>
      </c>
      <c r="C38" s="35"/>
      <c r="D38" s="35"/>
      <c r="E38" s="35"/>
      <c r="F38" s="35"/>
      <c r="G38" s="35"/>
      <c r="H38" s="36" t="n">
        <f aca="false">SUM(H39:H43)</f>
        <v>17740420</v>
      </c>
      <c r="I38" s="36" t="n">
        <f aca="false">SUM(I39:I43)</f>
        <v>855400</v>
      </c>
      <c r="J38" s="36" t="n">
        <f aca="false">SUM(J39:J43)</f>
        <v>18595820</v>
      </c>
      <c r="K38" s="35"/>
      <c r="L38" s="35"/>
      <c r="M38" s="35"/>
    </row>
    <row r="39" customFormat="false" ht="15" hidden="false" customHeight="true" outlineLevel="0" collapsed="false">
      <c r="A39" s="37" t="s">
        <v>152</v>
      </c>
      <c r="B39" s="20" t="s">
        <v>153</v>
      </c>
      <c r="C39" s="38" t="n">
        <f aca="false">AHSP!$K$402</f>
        <v>1</v>
      </c>
      <c r="D39" s="37" t="s">
        <v>154</v>
      </c>
      <c r="E39" s="39" t="n">
        <f aca="false">AHSP!$G$406</f>
        <v>2796200</v>
      </c>
      <c r="F39" s="39" t="n">
        <f aca="false">AHSP!$G$403</f>
        <v>0</v>
      </c>
      <c r="G39" s="21" t="n">
        <f aca="false">SUM(E39:F39)</f>
        <v>2796200</v>
      </c>
      <c r="H39" s="21" t="n">
        <f aca="false">C39*E39</f>
        <v>2796200</v>
      </c>
      <c r="I39" s="21" t="n">
        <f aca="false">C39*F39</f>
        <v>0</v>
      </c>
      <c r="J39" s="26" t="n">
        <f aca="false">C39*G39</f>
        <v>2796200</v>
      </c>
      <c r="K39" s="49" t="s">
        <v>126</v>
      </c>
      <c r="L39" s="40" t="s">
        <v>82</v>
      </c>
      <c r="M39" s="37" t="s">
        <v>83</v>
      </c>
    </row>
    <row r="40" customFormat="false" ht="15" hidden="false" customHeight="true" outlineLevel="0" collapsed="false">
      <c r="A40" s="41" t="s">
        <v>155</v>
      </c>
      <c r="B40" s="42" t="s">
        <v>156</v>
      </c>
      <c r="C40" s="43" t="n">
        <f aca="false">AHSP!$K$411</f>
        <v>3</v>
      </c>
      <c r="D40" s="41" t="s">
        <v>154</v>
      </c>
      <c r="E40" s="44" t="n">
        <f aca="false">AHSP!$G$420</f>
        <v>1631200</v>
      </c>
      <c r="F40" s="44" t="n">
        <f aca="false">AHSP!$G$415</f>
        <v>213850</v>
      </c>
      <c r="G40" s="45" t="n">
        <f aca="false">SUM(E40:F40)</f>
        <v>1845050</v>
      </c>
      <c r="H40" s="45" t="n">
        <f aca="false">C40*E40</f>
        <v>4893600</v>
      </c>
      <c r="I40" s="45" t="n">
        <f aca="false">C40*F40</f>
        <v>641550</v>
      </c>
      <c r="J40" s="46" t="n">
        <f aca="false">C40*G40</f>
        <v>5535150</v>
      </c>
      <c r="K40" s="42"/>
      <c r="L40" s="48" t="s">
        <v>82</v>
      </c>
      <c r="M40" s="41" t="s">
        <v>83</v>
      </c>
    </row>
    <row r="41" customFormat="false" ht="15" hidden="false" customHeight="true" outlineLevel="0" collapsed="false">
      <c r="A41" s="37" t="s">
        <v>157</v>
      </c>
      <c r="B41" s="20" t="s">
        <v>158</v>
      </c>
      <c r="C41" s="38" t="n">
        <f aca="false">AHSP!$K$425</f>
        <v>1</v>
      </c>
      <c r="D41" s="37" t="s">
        <v>154</v>
      </c>
      <c r="E41" s="39" t="n">
        <f aca="false">AHSP!$G$432</f>
        <v>949900</v>
      </c>
      <c r="F41" s="39" t="n">
        <f aca="false">AHSP!$G$429</f>
        <v>213850</v>
      </c>
      <c r="G41" s="21" t="n">
        <f aca="false">SUM(E41:F41)</f>
        <v>1163750</v>
      </c>
      <c r="H41" s="21" t="n">
        <f aca="false">C41*E41</f>
        <v>949900</v>
      </c>
      <c r="I41" s="21" t="n">
        <f aca="false">C41*F41</f>
        <v>213850</v>
      </c>
      <c r="J41" s="26" t="n">
        <f aca="false">C41*G41</f>
        <v>1163750</v>
      </c>
      <c r="K41" s="20"/>
      <c r="L41" s="40" t="s">
        <v>82</v>
      </c>
      <c r="M41" s="37" t="s">
        <v>83</v>
      </c>
    </row>
    <row r="42" customFormat="false" ht="15" hidden="false" customHeight="true" outlineLevel="0" collapsed="false">
      <c r="A42" s="41" t="s">
        <v>159</v>
      </c>
      <c r="B42" s="42" t="s">
        <v>160</v>
      </c>
      <c r="C42" s="43" t="n">
        <f aca="false">AHSP!$K$437</f>
        <v>5.76</v>
      </c>
      <c r="D42" s="41" t="s">
        <v>81</v>
      </c>
      <c r="E42" s="44" t="n">
        <f aca="false">AHSP!$G$441</f>
        <v>1547000</v>
      </c>
      <c r="F42" s="44" t="n">
        <f aca="false">AHSP!$G$438</f>
        <v>0</v>
      </c>
      <c r="G42" s="45" t="n">
        <f aca="false">SUM(E42:F42)</f>
        <v>1547000</v>
      </c>
      <c r="H42" s="45" t="n">
        <f aca="false">C42*E42</f>
        <v>8910720</v>
      </c>
      <c r="I42" s="45" t="n">
        <f aca="false">C42*F42</f>
        <v>0</v>
      </c>
      <c r="J42" s="46" t="n">
        <f aca="false">C42*G42</f>
        <v>8910720</v>
      </c>
      <c r="K42" s="50" t="s">
        <v>126</v>
      </c>
      <c r="L42" s="48" t="s">
        <v>82</v>
      </c>
      <c r="M42" s="41" t="s">
        <v>83</v>
      </c>
    </row>
    <row r="43" customFormat="false" ht="15" hidden="false" customHeight="true" outlineLevel="0" collapsed="false">
      <c r="A43" s="37" t="s">
        <v>161</v>
      </c>
      <c r="B43" s="20" t="s">
        <v>162</v>
      </c>
      <c r="C43" s="38" t="n">
        <f aca="false">AHSP!$K$446</f>
        <v>0.2</v>
      </c>
      <c r="D43" s="37" t="s">
        <v>81</v>
      </c>
      <c r="E43" s="39" t="n">
        <f aca="false">AHSP!$G$450</f>
        <v>950000</v>
      </c>
      <c r="F43" s="39" t="n">
        <f aca="false">AHSP!$G$447</f>
        <v>0</v>
      </c>
      <c r="G43" s="21" t="n">
        <f aca="false">SUM(E43:F43)</f>
        <v>950000</v>
      </c>
      <c r="H43" s="21" t="n">
        <f aca="false">C43*E43</f>
        <v>190000</v>
      </c>
      <c r="I43" s="21" t="n">
        <f aca="false">C43*F43</f>
        <v>0</v>
      </c>
      <c r="J43" s="26" t="n">
        <f aca="false">C43*G43</f>
        <v>190000</v>
      </c>
      <c r="K43" s="49" t="s">
        <v>126</v>
      </c>
      <c r="L43" s="47" t="s">
        <v>59</v>
      </c>
      <c r="M43" s="37" t="s">
        <v>83</v>
      </c>
    </row>
    <row r="44" customFormat="false" ht="15" hidden="false" customHeight="true" outlineLevel="0" collapsed="false">
      <c r="A44" s="35" t="s">
        <v>163</v>
      </c>
      <c r="B44" s="35" t="s">
        <v>164</v>
      </c>
      <c r="C44" s="35"/>
      <c r="D44" s="35"/>
      <c r="E44" s="35"/>
      <c r="F44" s="35"/>
      <c r="G44" s="35"/>
      <c r="H44" s="36" t="n">
        <f aca="false">SUM(H45:H46)</f>
        <v>7016852.71531433</v>
      </c>
      <c r="I44" s="36" t="n">
        <f aca="false">SUM(I45:I46)</f>
        <v>3605068.60833776</v>
      </c>
      <c r="J44" s="36" t="n">
        <f aca="false">SUM(J45:J46)</f>
        <v>10621921.3236521</v>
      </c>
      <c r="K44" s="35"/>
      <c r="L44" s="35"/>
      <c r="M44" s="35"/>
    </row>
    <row r="45" customFormat="false" ht="15" hidden="false" customHeight="true" outlineLevel="0" collapsed="false">
      <c r="A45" s="37" t="s">
        <v>165</v>
      </c>
      <c r="B45" s="20" t="s">
        <v>166</v>
      </c>
      <c r="C45" s="38" t="n">
        <f aca="false">AHSP!$K$455</f>
        <v>165.923</v>
      </c>
      <c r="D45" s="37" t="s">
        <v>81</v>
      </c>
      <c r="E45" s="39" t="n">
        <f aca="false">AHSP!$G$466</f>
        <v>19580.4</v>
      </c>
      <c r="F45" s="39" t="n">
        <f aca="false">AHSP!$G$461</f>
        <v>14828.82</v>
      </c>
      <c r="G45" s="21" t="n">
        <f aca="false">SUM(E45:F45)</f>
        <v>34409.22</v>
      </c>
      <c r="H45" s="21" t="n">
        <f aca="false">C45*E45</f>
        <v>3248838.7092</v>
      </c>
      <c r="I45" s="21" t="n">
        <f aca="false">C45*F45</f>
        <v>2460442.30086</v>
      </c>
      <c r="J45" s="26" t="n">
        <f aca="false">C45*G45</f>
        <v>5709281.01006</v>
      </c>
      <c r="K45" s="20"/>
      <c r="L45" s="40" t="s">
        <v>82</v>
      </c>
      <c r="M45" s="37" t="s">
        <v>83</v>
      </c>
    </row>
    <row r="46" customFormat="false" ht="15" hidden="false" customHeight="true" outlineLevel="0" collapsed="false">
      <c r="A46" s="41" t="s">
        <v>167</v>
      </c>
      <c r="B46" s="42" t="s">
        <v>168</v>
      </c>
      <c r="C46" s="43" t="n">
        <f aca="false">AHSP!$K$471</f>
        <v>77.1893048454133</v>
      </c>
      <c r="D46" s="41" t="s">
        <v>81</v>
      </c>
      <c r="E46" s="44" t="n">
        <f aca="false">AHSP!$G$481</f>
        <v>48815.23436</v>
      </c>
      <c r="F46" s="44" t="n">
        <f aca="false">AHSP!$G$477</f>
        <v>14828.82</v>
      </c>
      <c r="G46" s="45" t="n">
        <f aca="false">SUM(E46:F46)</f>
        <v>63644.05436</v>
      </c>
      <c r="H46" s="45" t="n">
        <f aca="false">C46*E46</f>
        <v>3768014.00611433</v>
      </c>
      <c r="I46" s="45" t="n">
        <f aca="false">C46*F46</f>
        <v>1144626.30747776</v>
      </c>
      <c r="J46" s="46" t="n">
        <f aca="false">C46*G46</f>
        <v>4912640.31359209</v>
      </c>
      <c r="K46" s="42"/>
      <c r="L46" s="48" t="s">
        <v>82</v>
      </c>
      <c r="M46" s="41" t="s">
        <v>83</v>
      </c>
    </row>
    <row r="47" customFormat="false" ht="15" hidden="false" customHeight="true" outlineLevel="0" collapsed="false">
      <c r="A47" s="35" t="s">
        <v>169</v>
      </c>
      <c r="B47" s="35" t="s">
        <v>170</v>
      </c>
      <c r="C47" s="35"/>
      <c r="D47" s="35"/>
      <c r="E47" s="35"/>
      <c r="F47" s="35"/>
      <c r="G47" s="35"/>
      <c r="H47" s="36" t="n">
        <f aca="false">SUM(H48:H58)</f>
        <v>12350150</v>
      </c>
      <c r="I47" s="36" t="n">
        <f aca="false">SUM(I48:I58)</f>
        <v>2291159.68</v>
      </c>
      <c r="J47" s="36" t="n">
        <f aca="false">SUM(J48:J58)</f>
        <v>14641309.68</v>
      </c>
      <c r="K47" s="35"/>
      <c r="L47" s="35"/>
      <c r="M47" s="35"/>
    </row>
    <row r="48" customFormat="false" ht="15" hidden="false" customHeight="true" outlineLevel="0" collapsed="false">
      <c r="A48" s="37" t="s">
        <v>171</v>
      </c>
      <c r="B48" s="20" t="s">
        <v>172</v>
      </c>
      <c r="C48" s="38" t="n">
        <f aca="false">AHSP!$K$486</f>
        <v>1</v>
      </c>
      <c r="D48" s="37" t="s">
        <v>154</v>
      </c>
      <c r="E48" s="39" t="n">
        <f aca="false">AHSP!$G$494</f>
        <v>2132500</v>
      </c>
      <c r="F48" s="39" t="n">
        <f aca="false">AHSP!$G$490</f>
        <v>249650</v>
      </c>
      <c r="G48" s="21" t="n">
        <f aca="false">SUM(E48:F48)</f>
        <v>2382150</v>
      </c>
      <c r="H48" s="21" t="n">
        <f aca="false">C48*E48</f>
        <v>2132500</v>
      </c>
      <c r="I48" s="21" t="n">
        <f aca="false">C48*F48</f>
        <v>249650</v>
      </c>
      <c r="J48" s="26" t="n">
        <f aca="false">C48*G48</f>
        <v>2382150</v>
      </c>
      <c r="K48" s="20"/>
      <c r="L48" s="40" t="s">
        <v>82</v>
      </c>
      <c r="M48" s="37" t="s">
        <v>83</v>
      </c>
    </row>
    <row r="49" customFormat="false" ht="15" hidden="false" customHeight="true" outlineLevel="0" collapsed="false">
      <c r="A49" s="41" t="s">
        <v>173</v>
      </c>
      <c r="B49" s="42" t="s">
        <v>174</v>
      </c>
      <c r="C49" s="43" t="n">
        <f aca="false">AHSP!$K$499</f>
        <v>1</v>
      </c>
      <c r="D49" s="41" t="s">
        <v>175</v>
      </c>
      <c r="E49" s="44" t="n">
        <f aca="false">AHSP!$G$505</f>
        <v>425000</v>
      </c>
      <c r="F49" s="44" t="n">
        <f aca="false">AHSP!$G$502</f>
        <v>55320</v>
      </c>
      <c r="G49" s="45" t="n">
        <f aca="false">SUM(E49:F49)</f>
        <v>480320</v>
      </c>
      <c r="H49" s="45" t="n">
        <f aca="false">C49*E49</f>
        <v>425000</v>
      </c>
      <c r="I49" s="45" t="n">
        <f aca="false">C49*F49</f>
        <v>55320</v>
      </c>
      <c r="J49" s="46" t="n">
        <f aca="false">C49*G49</f>
        <v>480320</v>
      </c>
      <c r="K49" s="42"/>
      <c r="L49" s="48" t="s">
        <v>82</v>
      </c>
      <c r="M49" s="41" t="s">
        <v>176</v>
      </c>
    </row>
    <row r="50" customFormat="false" ht="15" hidden="false" customHeight="true" outlineLevel="0" collapsed="false">
      <c r="A50" s="37" t="s">
        <v>177</v>
      </c>
      <c r="B50" s="20" t="s">
        <v>178</v>
      </c>
      <c r="C50" s="38" t="n">
        <f aca="false">AHSP!$K$510</f>
        <v>1</v>
      </c>
      <c r="D50" s="37" t="s">
        <v>154</v>
      </c>
      <c r="E50" s="39" t="n">
        <f aca="false">AHSP!$G$516</f>
        <v>800000</v>
      </c>
      <c r="F50" s="39" t="n">
        <f aca="false">AHSP!$G$513</f>
        <v>92200</v>
      </c>
      <c r="G50" s="21" t="n">
        <f aca="false">SUM(E50:F50)</f>
        <v>892200</v>
      </c>
      <c r="H50" s="21" t="n">
        <f aca="false">C50*E50</f>
        <v>800000</v>
      </c>
      <c r="I50" s="21" t="n">
        <f aca="false">C50*F50</f>
        <v>92200</v>
      </c>
      <c r="J50" s="26" t="n">
        <f aca="false">C50*G50</f>
        <v>892200</v>
      </c>
      <c r="K50" s="20"/>
      <c r="L50" s="40" t="s">
        <v>82</v>
      </c>
      <c r="M50" s="37" t="s">
        <v>83</v>
      </c>
    </row>
    <row r="51" customFormat="false" ht="15" hidden="false" customHeight="true" outlineLevel="0" collapsed="false">
      <c r="A51" s="41" t="s">
        <v>179</v>
      </c>
      <c r="B51" s="42" t="s">
        <v>180</v>
      </c>
      <c r="C51" s="43" t="n">
        <f aca="false">AHSP!$K$521</f>
        <v>2</v>
      </c>
      <c r="D51" s="41" t="s">
        <v>181</v>
      </c>
      <c r="E51" s="44" t="n">
        <f aca="false">AHSP!$G$527</f>
        <v>80000</v>
      </c>
      <c r="F51" s="44" t="n">
        <f aca="false">AHSP!$G$524</f>
        <v>36880</v>
      </c>
      <c r="G51" s="45" t="n">
        <f aca="false">SUM(E51:F51)</f>
        <v>116880</v>
      </c>
      <c r="H51" s="45" t="n">
        <f aca="false">C51*E51</f>
        <v>160000</v>
      </c>
      <c r="I51" s="45" t="n">
        <f aca="false">C51*F51</f>
        <v>73760</v>
      </c>
      <c r="J51" s="46" t="n">
        <f aca="false">C51*G51</f>
        <v>233760</v>
      </c>
      <c r="K51" s="42"/>
      <c r="L51" s="48" t="s">
        <v>82</v>
      </c>
      <c r="M51" s="41" t="s">
        <v>83</v>
      </c>
    </row>
    <row r="52" customFormat="false" ht="15" hidden="false" customHeight="true" outlineLevel="0" collapsed="false">
      <c r="A52" s="37" t="s">
        <v>182</v>
      </c>
      <c r="B52" s="20" t="s">
        <v>183</v>
      </c>
      <c r="C52" s="38" t="n">
        <f aca="false">AHSP!$K$532</f>
        <v>4</v>
      </c>
      <c r="D52" s="37" t="s">
        <v>181</v>
      </c>
      <c r="E52" s="39" t="n">
        <f aca="false">AHSP!$G$538</f>
        <v>110000</v>
      </c>
      <c r="F52" s="39" t="n">
        <f aca="false">AHSP!$G$535</f>
        <v>55320</v>
      </c>
      <c r="G52" s="21" t="n">
        <f aca="false">SUM(E52:F52)</f>
        <v>165320</v>
      </c>
      <c r="H52" s="21" t="n">
        <f aca="false">C52*E52</f>
        <v>440000</v>
      </c>
      <c r="I52" s="21" t="n">
        <f aca="false">C52*F52</f>
        <v>221280</v>
      </c>
      <c r="J52" s="26" t="n">
        <f aca="false">C52*G52</f>
        <v>661280</v>
      </c>
      <c r="K52" s="20"/>
      <c r="L52" s="40" t="s">
        <v>82</v>
      </c>
      <c r="M52" s="37" t="s">
        <v>83</v>
      </c>
    </row>
    <row r="53" customFormat="false" ht="15" hidden="false" customHeight="true" outlineLevel="0" collapsed="false">
      <c r="A53" s="41" t="s">
        <v>184</v>
      </c>
      <c r="B53" s="42" t="s">
        <v>185</v>
      </c>
      <c r="C53" s="43" t="n">
        <f aca="false">AHSP!$K$543</f>
        <v>25</v>
      </c>
      <c r="D53" s="41" t="s">
        <v>131</v>
      </c>
      <c r="E53" s="44" t="n">
        <f aca="false">AHSP!$G$553</f>
        <v>17950</v>
      </c>
      <c r="F53" s="44" t="n">
        <f aca="false">AHSP!$G$549</f>
        <v>17366.34</v>
      </c>
      <c r="G53" s="45" t="n">
        <f aca="false">SUM(E53:F53)</f>
        <v>35316.34</v>
      </c>
      <c r="H53" s="45" t="n">
        <f aca="false">C53*E53</f>
        <v>448750</v>
      </c>
      <c r="I53" s="45" t="n">
        <f aca="false">C53*F53</f>
        <v>434158.5</v>
      </c>
      <c r="J53" s="46" t="n">
        <f aca="false">C53*G53</f>
        <v>882908.5</v>
      </c>
      <c r="K53" s="42"/>
      <c r="L53" s="48" t="s">
        <v>82</v>
      </c>
      <c r="M53" s="41" t="s">
        <v>83</v>
      </c>
    </row>
    <row r="54" customFormat="false" ht="15" hidden="false" customHeight="true" outlineLevel="0" collapsed="false">
      <c r="A54" s="37" t="s">
        <v>186</v>
      </c>
      <c r="B54" s="20" t="s">
        <v>187</v>
      </c>
      <c r="C54" s="38" t="n">
        <f aca="false">AHSP!$K$558</f>
        <v>10</v>
      </c>
      <c r="D54" s="37" t="s">
        <v>131</v>
      </c>
      <c r="E54" s="39" t="n">
        <f aca="false">AHSP!$G$568</f>
        <v>51500</v>
      </c>
      <c r="F54" s="39" t="n">
        <f aca="false">AHSP!$G$564</f>
        <v>26049.51</v>
      </c>
      <c r="G54" s="21" t="n">
        <f aca="false">SUM(E54:F54)</f>
        <v>77549.51</v>
      </c>
      <c r="H54" s="21" t="n">
        <f aca="false">C54*E54</f>
        <v>515000</v>
      </c>
      <c r="I54" s="21" t="n">
        <f aca="false">C54*F54</f>
        <v>260495.1</v>
      </c>
      <c r="J54" s="26" t="n">
        <f aca="false">C54*G54</f>
        <v>775495.1</v>
      </c>
      <c r="K54" s="20"/>
      <c r="L54" s="40" t="s">
        <v>82</v>
      </c>
      <c r="M54" s="37" t="s">
        <v>83</v>
      </c>
    </row>
    <row r="55" customFormat="false" ht="15" hidden="false" customHeight="true" outlineLevel="0" collapsed="false">
      <c r="A55" s="41" t="s">
        <v>188</v>
      </c>
      <c r="B55" s="42" t="s">
        <v>189</v>
      </c>
      <c r="C55" s="43" t="n">
        <f aca="false">AHSP!$K$573</f>
        <v>8</v>
      </c>
      <c r="D55" s="41" t="s">
        <v>131</v>
      </c>
      <c r="E55" s="44" t="n">
        <f aca="false">AHSP!$G$583</f>
        <v>70750</v>
      </c>
      <c r="F55" s="44" t="n">
        <f aca="false">AHSP!$G$579</f>
        <v>26049.51</v>
      </c>
      <c r="G55" s="45" t="n">
        <f aca="false">SUM(E55:F55)</f>
        <v>96799.51</v>
      </c>
      <c r="H55" s="45" t="n">
        <f aca="false">C55*E55</f>
        <v>566000</v>
      </c>
      <c r="I55" s="45" t="n">
        <f aca="false">C55*F55</f>
        <v>208396.08</v>
      </c>
      <c r="J55" s="46" t="n">
        <f aca="false">C55*G55</f>
        <v>774396.08</v>
      </c>
      <c r="K55" s="42"/>
      <c r="L55" s="48" t="s">
        <v>82</v>
      </c>
      <c r="M55" s="41" t="s">
        <v>83</v>
      </c>
    </row>
    <row r="56" customFormat="false" ht="15" hidden="false" customHeight="true" outlineLevel="0" collapsed="false">
      <c r="A56" s="37" t="s">
        <v>190</v>
      </c>
      <c r="B56" s="20" t="s">
        <v>191</v>
      </c>
      <c r="C56" s="38" t="n">
        <f aca="false">AHSP!$K$588</f>
        <v>1</v>
      </c>
      <c r="D56" s="37" t="s">
        <v>154</v>
      </c>
      <c r="E56" s="39" t="n">
        <f aca="false">AHSP!$G$595</f>
        <v>2300000</v>
      </c>
      <c r="F56" s="39" t="n">
        <f aca="false">AHSP!$G$592</f>
        <v>564550</v>
      </c>
      <c r="G56" s="21" t="n">
        <f aca="false">SUM(E56:F56)</f>
        <v>2864550</v>
      </c>
      <c r="H56" s="21" t="n">
        <f aca="false">C56*E56</f>
        <v>2300000</v>
      </c>
      <c r="I56" s="21" t="n">
        <f aca="false">C56*F56</f>
        <v>564550</v>
      </c>
      <c r="J56" s="26" t="n">
        <f aca="false">C56*G56</f>
        <v>2864550</v>
      </c>
      <c r="K56" s="20"/>
      <c r="L56" s="40" t="s">
        <v>82</v>
      </c>
      <c r="M56" s="37" t="s">
        <v>176</v>
      </c>
    </row>
    <row r="57" customFormat="false" ht="15" hidden="false" customHeight="true" outlineLevel="0" collapsed="false">
      <c r="A57" s="41" t="s">
        <v>192</v>
      </c>
      <c r="B57" s="42" t="s">
        <v>193</v>
      </c>
      <c r="C57" s="43" t="n">
        <f aca="false">AHSP!$K$600</f>
        <v>1</v>
      </c>
      <c r="D57" s="41" t="s">
        <v>154</v>
      </c>
      <c r="E57" s="44" t="n">
        <f aca="false">AHSP!$G$607</f>
        <v>800000</v>
      </c>
      <c r="F57" s="44" t="n">
        <f aca="false">AHSP!$G$604</f>
        <v>131350</v>
      </c>
      <c r="G57" s="45" t="n">
        <f aca="false">SUM(E57:F57)</f>
        <v>931350</v>
      </c>
      <c r="H57" s="45" t="n">
        <f aca="false">C57*E57</f>
        <v>800000</v>
      </c>
      <c r="I57" s="45" t="n">
        <f aca="false">C57*F57</f>
        <v>131350</v>
      </c>
      <c r="J57" s="46" t="n">
        <f aca="false">C57*G57</f>
        <v>931350</v>
      </c>
      <c r="K57" s="42"/>
      <c r="L57" s="48" t="s">
        <v>82</v>
      </c>
      <c r="M57" s="41" t="s">
        <v>176</v>
      </c>
    </row>
    <row r="58" customFormat="false" ht="15" hidden="false" customHeight="true" outlineLevel="0" collapsed="false">
      <c r="A58" s="37" t="s">
        <v>194</v>
      </c>
      <c r="B58" s="20" t="s">
        <v>195</v>
      </c>
      <c r="C58" s="38" t="n">
        <f aca="false">AHSP!$K$612</f>
        <v>1</v>
      </c>
      <c r="D58" s="37" t="s">
        <v>154</v>
      </c>
      <c r="E58" s="39" t="n">
        <f aca="false">AHSP!$G$616</f>
        <v>3762900</v>
      </c>
      <c r="F58" s="39" t="n">
        <f aca="false">AHSP!$G$613</f>
        <v>0</v>
      </c>
      <c r="G58" s="21" t="n">
        <f aca="false">SUM(E58:F58)</f>
        <v>3762900</v>
      </c>
      <c r="H58" s="21" t="n">
        <f aca="false">C58*E58</f>
        <v>3762900</v>
      </c>
      <c r="I58" s="21" t="n">
        <f aca="false">C58*F58</f>
        <v>0</v>
      </c>
      <c r="J58" s="26" t="n">
        <f aca="false">C58*G58</f>
        <v>3762900</v>
      </c>
      <c r="K58" s="49" t="s">
        <v>126</v>
      </c>
      <c r="L58" s="40" t="s">
        <v>82</v>
      </c>
      <c r="M58" s="37" t="s">
        <v>83</v>
      </c>
    </row>
    <row r="59" customFormat="false" ht="15" hidden="false" customHeight="true" outlineLevel="0" collapsed="false">
      <c r="A59" s="35" t="s">
        <v>196</v>
      </c>
      <c r="B59" s="35" t="s">
        <v>197</v>
      </c>
      <c r="C59" s="35"/>
      <c r="D59" s="35"/>
      <c r="E59" s="35"/>
      <c r="F59" s="35"/>
      <c r="G59" s="35"/>
      <c r="H59" s="36" t="n">
        <f aca="false">SUM(H60:H62)</f>
        <v>6437750</v>
      </c>
      <c r="I59" s="36" t="n">
        <f aca="false">SUM(I60:I62)</f>
        <v>2409920</v>
      </c>
      <c r="J59" s="36" t="n">
        <f aca="false">SUM(J60:J62)</f>
        <v>8847670</v>
      </c>
      <c r="K59" s="35"/>
      <c r="L59" s="35"/>
      <c r="M59" s="35"/>
    </row>
    <row r="60" customFormat="false" ht="15" hidden="false" customHeight="true" outlineLevel="0" collapsed="false">
      <c r="A60" s="37" t="s">
        <v>198</v>
      </c>
      <c r="B60" s="20" t="s">
        <v>199</v>
      </c>
      <c r="C60" s="38" t="n">
        <f aca="false">AHSP!$K$621</f>
        <v>10</v>
      </c>
      <c r="D60" s="37" t="s">
        <v>200</v>
      </c>
      <c r="E60" s="39" t="n">
        <f aca="false">AHSP!$G$630</f>
        <v>226400</v>
      </c>
      <c r="F60" s="39" t="n">
        <f aca="false">AHSP!$G$625</f>
        <v>96605</v>
      </c>
      <c r="G60" s="21" t="n">
        <f aca="false">SUM(E60:F60)</f>
        <v>323005</v>
      </c>
      <c r="H60" s="21" t="n">
        <f aca="false">C60*E60</f>
        <v>2264000</v>
      </c>
      <c r="I60" s="21" t="n">
        <f aca="false">C60*F60</f>
        <v>966050</v>
      </c>
      <c r="J60" s="26" t="n">
        <f aca="false">C60*G60</f>
        <v>3230050</v>
      </c>
      <c r="K60" s="20"/>
      <c r="L60" s="40" t="s">
        <v>82</v>
      </c>
      <c r="M60" s="37" t="s">
        <v>83</v>
      </c>
    </row>
    <row r="61" customFormat="false" ht="15" hidden="false" customHeight="true" outlineLevel="0" collapsed="false">
      <c r="A61" s="41" t="s">
        <v>201</v>
      </c>
      <c r="B61" s="42" t="s">
        <v>202</v>
      </c>
      <c r="C61" s="43" t="n">
        <f aca="false">AHSP!$K$635</f>
        <v>14</v>
      </c>
      <c r="D61" s="41" t="s">
        <v>200</v>
      </c>
      <c r="E61" s="44" t="n">
        <f aca="false">AHSP!$G$645</f>
        <v>248125</v>
      </c>
      <c r="F61" s="44" t="n">
        <f aca="false">AHSP!$G$639</f>
        <v>96605</v>
      </c>
      <c r="G61" s="45" t="n">
        <f aca="false">SUM(E61:F61)</f>
        <v>344730</v>
      </c>
      <c r="H61" s="45" t="n">
        <f aca="false">C61*E61</f>
        <v>3473750</v>
      </c>
      <c r="I61" s="45" t="n">
        <f aca="false">C61*F61</f>
        <v>1352470</v>
      </c>
      <c r="J61" s="46" t="n">
        <f aca="false">C61*G61</f>
        <v>4826220</v>
      </c>
      <c r="K61" s="42"/>
      <c r="L61" s="48" t="s">
        <v>82</v>
      </c>
      <c r="M61" s="41" t="s">
        <v>83</v>
      </c>
    </row>
    <row r="62" customFormat="false" ht="15" hidden="false" customHeight="true" outlineLevel="0" collapsed="false">
      <c r="A62" s="37" t="s">
        <v>203</v>
      </c>
      <c r="B62" s="20" t="s">
        <v>204</v>
      </c>
      <c r="C62" s="38" t="n">
        <f aca="false">AHSP!$K$650</f>
        <v>1</v>
      </c>
      <c r="D62" s="37" t="s">
        <v>175</v>
      </c>
      <c r="E62" s="39" t="n">
        <f aca="false">AHSP!$G$656</f>
        <v>700000</v>
      </c>
      <c r="F62" s="39" t="n">
        <f aca="false">AHSP!$G$653</f>
        <v>91400</v>
      </c>
      <c r="G62" s="21" t="n">
        <f aca="false">SUM(E62:F62)</f>
        <v>791400</v>
      </c>
      <c r="H62" s="21" t="n">
        <f aca="false">C62*E62</f>
        <v>700000</v>
      </c>
      <c r="I62" s="21" t="n">
        <f aca="false">C62*F62</f>
        <v>91400</v>
      </c>
      <c r="J62" s="26" t="n">
        <f aca="false">C62*G62</f>
        <v>791400</v>
      </c>
      <c r="K62" s="20"/>
      <c r="L62" s="40" t="s">
        <v>82</v>
      </c>
      <c r="M62" s="37" t="s">
        <v>83</v>
      </c>
    </row>
    <row r="63" customFormat="false" ht="15" hidden="false" customHeight="true" outlineLevel="0" collapsed="false">
      <c r="A63" s="35" t="s">
        <v>205</v>
      </c>
      <c r="B63" s="35" t="s">
        <v>206</v>
      </c>
      <c r="C63" s="35"/>
      <c r="D63" s="35"/>
      <c r="E63" s="35"/>
      <c r="F63" s="35"/>
      <c r="G63" s="35"/>
      <c r="H63" s="36" t="n">
        <f aca="false">SUM(H64:H64)</f>
        <v>3400000</v>
      </c>
      <c r="I63" s="36" t="n">
        <f aca="false">SUM(I64:I64)</f>
        <v>1092700</v>
      </c>
      <c r="J63" s="36" t="n">
        <f aca="false">SUM(J64:J64)</f>
        <v>4492700</v>
      </c>
      <c r="K63" s="35"/>
      <c r="L63" s="35"/>
      <c r="M63" s="35"/>
    </row>
    <row r="64" customFormat="false" ht="15" hidden="false" customHeight="true" outlineLevel="0" collapsed="false">
      <c r="A64" s="37" t="s">
        <v>207</v>
      </c>
      <c r="B64" s="20" t="s">
        <v>208</v>
      </c>
      <c r="C64" s="38" t="n">
        <f aca="false">AHSP!$K$661</f>
        <v>1</v>
      </c>
      <c r="D64" s="37" t="s">
        <v>86</v>
      </c>
      <c r="E64" s="39" t="n">
        <f aca="false">AHSP!$G$669</f>
        <v>3400000</v>
      </c>
      <c r="F64" s="39" t="n">
        <f aca="false">AHSP!$G$665</f>
        <v>1092700</v>
      </c>
      <c r="G64" s="21" t="n">
        <f aca="false">SUM(E64:F64)</f>
        <v>4492700</v>
      </c>
      <c r="H64" s="21" t="n">
        <f aca="false">C64*E64</f>
        <v>3400000</v>
      </c>
      <c r="I64" s="21" t="n">
        <f aca="false">C64*F64</f>
        <v>1092700</v>
      </c>
      <c r="J64" s="26" t="n">
        <f aca="false">C64*G64</f>
        <v>4492700</v>
      </c>
      <c r="K64" s="20"/>
      <c r="L64" s="47" t="s">
        <v>59</v>
      </c>
      <c r="M64" s="37" t="s">
        <v>176</v>
      </c>
    </row>
    <row r="65" customFormat="false" ht="15" hidden="false" customHeight="true" outlineLevel="0" collapsed="false">
      <c r="A65" s="35" t="s">
        <v>209</v>
      </c>
      <c r="B65" s="35" t="s">
        <v>210</v>
      </c>
      <c r="C65" s="35"/>
      <c r="D65" s="35"/>
      <c r="E65" s="35"/>
      <c r="F65" s="35"/>
      <c r="G65" s="35"/>
      <c r="H65" s="36" t="n">
        <f aca="false">SUM(H66:H71)</f>
        <v>25566586.968792</v>
      </c>
      <c r="I65" s="36" t="n">
        <f aca="false">SUM(I66:I71)</f>
        <v>1132157.214</v>
      </c>
      <c r="J65" s="36" t="n">
        <f aca="false">SUM(J66:J71)</f>
        <v>26698744.182792</v>
      </c>
      <c r="K65" s="35"/>
      <c r="L65" s="35"/>
      <c r="M65" s="35"/>
    </row>
    <row r="66" customFormat="false" ht="15" hidden="false" customHeight="true" outlineLevel="0" collapsed="false">
      <c r="A66" s="37" t="s">
        <v>211</v>
      </c>
      <c r="B66" s="20" t="s">
        <v>212</v>
      </c>
      <c r="C66" s="38" t="n">
        <f aca="false">AHSP!$K$674</f>
        <v>15</v>
      </c>
      <c r="D66" s="37" t="s">
        <v>81</v>
      </c>
      <c r="E66" s="39" t="n">
        <f aca="false">AHSP!$G$689</f>
        <v>192118.101666667</v>
      </c>
      <c r="F66" s="39" t="n">
        <f aca="false">AHSP!$G$681</f>
        <v>24928.41</v>
      </c>
      <c r="G66" s="21" t="n">
        <f aca="false">SUM(E66:F66)</f>
        <v>217046.511666667</v>
      </c>
      <c r="H66" s="21" t="n">
        <f aca="false">C66*E66</f>
        <v>2881771.525</v>
      </c>
      <c r="I66" s="21" t="n">
        <f aca="false">C66*F66</f>
        <v>373926.15</v>
      </c>
      <c r="J66" s="26" t="n">
        <f aca="false">C66*G66</f>
        <v>3255697.675</v>
      </c>
      <c r="K66" s="20"/>
      <c r="L66" s="40" t="s">
        <v>82</v>
      </c>
      <c r="M66" s="37" t="s">
        <v>176</v>
      </c>
    </row>
    <row r="67" customFormat="false" ht="15" hidden="false" customHeight="true" outlineLevel="0" collapsed="false">
      <c r="A67" s="41" t="s">
        <v>213</v>
      </c>
      <c r="B67" s="42" t="s">
        <v>214</v>
      </c>
      <c r="C67" s="43" t="n">
        <f aca="false">AHSP!$K$694</f>
        <v>15</v>
      </c>
      <c r="D67" s="41" t="s">
        <v>81</v>
      </c>
      <c r="E67" s="44" t="n">
        <f aca="false">AHSP!$G$698</f>
        <v>600000</v>
      </c>
      <c r="F67" s="44" t="n">
        <f aca="false">AHSP!$G$695</f>
        <v>0</v>
      </c>
      <c r="G67" s="45" t="n">
        <f aca="false">SUM(E67:F67)</f>
        <v>600000</v>
      </c>
      <c r="H67" s="45" t="n">
        <f aca="false">C67*E67</f>
        <v>9000000</v>
      </c>
      <c r="I67" s="45" t="n">
        <f aca="false">C67*F67</f>
        <v>0</v>
      </c>
      <c r="J67" s="46" t="n">
        <f aca="false">C67*G67</f>
        <v>9000000</v>
      </c>
      <c r="K67" s="50" t="s">
        <v>126</v>
      </c>
      <c r="L67" s="48" t="s">
        <v>82</v>
      </c>
      <c r="M67" s="41" t="s">
        <v>176</v>
      </c>
    </row>
    <row r="68" customFormat="false" ht="15" hidden="false" customHeight="true" outlineLevel="0" collapsed="false">
      <c r="A68" s="37" t="s">
        <v>215</v>
      </c>
      <c r="B68" s="20" t="s">
        <v>216</v>
      </c>
      <c r="C68" s="38" t="n">
        <f aca="false">AHSP!$K$703</f>
        <v>3.6</v>
      </c>
      <c r="D68" s="37" t="s">
        <v>81</v>
      </c>
      <c r="E68" s="39" t="n">
        <f aca="false">AHSP!$G$718</f>
        <v>249882.06772</v>
      </c>
      <c r="F68" s="39" t="n">
        <f aca="false">AHSP!$G$710</f>
        <v>210619.74</v>
      </c>
      <c r="G68" s="21" t="n">
        <f aca="false">SUM(E68:F68)</f>
        <v>460501.80772</v>
      </c>
      <c r="H68" s="21" t="n">
        <f aca="false">C68*E68</f>
        <v>899575.443792</v>
      </c>
      <c r="I68" s="21" t="n">
        <f aca="false">C68*F68</f>
        <v>758231.064</v>
      </c>
      <c r="J68" s="26" t="n">
        <f aca="false">C68*G68</f>
        <v>1657806.507792</v>
      </c>
      <c r="K68" s="20"/>
      <c r="L68" s="40" t="s">
        <v>82</v>
      </c>
      <c r="M68" s="37" t="s">
        <v>176</v>
      </c>
    </row>
    <row r="69" customFormat="false" ht="15" hidden="false" customHeight="true" outlineLevel="0" collapsed="false">
      <c r="A69" s="41" t="s">
        <v>217</v>
      </c>
      <c r="B69" s="42" t="s">
        <v>218</v>
      </c>
      <c r="C69" s="43" t="n">
        <f aca="false">AHSP!$K$723</f>
        <v>3.6</v>
      </c>
      <c r="D69" s="41" t="s">
        <v>81</v>
      </c>
      <c r="E69" s="44" t="n">
        <f aca="false">AHSP!$G$727</f>
        <v>895900</v>
      </c>
      <c r="F69" s="44" t="n">
        <f aca="false">AHSP!$G$724</f>
        <v>0</v>
      </c>
      <c r="G69" s="45" t="n">
        <f aca="false">SUM(E69:F69)</f>
        <v>895900</v>
      </c>
      <c r="H69" s="45" t="n">
        <f aca="false">C69*E69</f>
        <v>3225240</v>
      </c>
      <c r="I69" s="45" t="n">
        <f aca="false">C69*F69</f>
        <v>0</v>
      </c>
      <c r="J69" s="46" t="n">
        <f aca="false">C69*G69</f>
        <v>3225240</v>
      </c>
      <c r="K69" s="50" t="s">
        <v>126</v>
      </c>
      <c r="L69" s="48" t="s">
        <v>82</v>
      </c>
      <c r="M69" s="41" t="s">
        <v>176</v>
      </c>
    </row>
    <row r="70" customFormat="false" ht="15" hidden="false" customHeight="true" outlineLevel="0" collapsed="false">
      <c r="A70" s="37" t="s">
        <v>219</v>
      </c>
      <c r="B70" s="20" t="s">
        <v>220</v>
      </c>
      <c r="C70" s="38" t="n">
        <f aca="false">AHSP!$K$732</f>
        <v>5.4</v>
      </c>
      <c r="D70" s="37" t="s">
        <v>81</v>
      </c>
      <c r="E70" s="39" t="n">
        <f aca="false">AHSP!$G$736</f>
        <v>1650000</v>
      </c>
      <c r="F70" s="39" t="n">
        <f aca="false">AHSP!$G$733</f>
        <v>0</v>
      </c>
      <c r="G70" s="21" t="n">
        <f aca="false">SUM(E70:F70)</f>
        <v>1650000</v>
      </c>
      <c r="H70" s="21" t="n">
        <f aca="false">C70*E70</f>
        <v>8910000</v>
      </c>
      <c r="I70" s="21" t="n">
        <f aca="false">C70*F70</f>
        <v>0</v>
      </c>
      <c r="J70" s="26" t="n">
        <f aca="false">C70*G70</f>
        <v>8910000</v>
      </c>
      <c r="K70" s="49" t="s">
        <v>126</v>
      </c>
      <c r="L70" s="47" t="s">
        <v>59</v>
      </c>
      <c r="M70" s="37" t="s">
        <v>176</v>
      </c>
    </row>
    <row r="71" customFormat="false" ht="15" hidden="false" customHeight="true" outlineLevel="0" collapsed="false">
      <c r="A71" s="41" t="s">
        <v>221</v>
      </c>
      <c r="B71" s="42" t="s">
        <v>222</v>
      </c>
      <c r="C71" s="43" t="n">
        <f aca="false">AHSP!$K$741</f>
        <v>1</v>
      </c>
      <c r="D71" s="41" t="s">
        <v>175</v>
      </c>
      <c r="E71" s="44" t="n">
        <f aca="false">AHSP!$G$745</f>
        <v>650000</v>
      </c>
      <c r="F71" s="44" t="n">
        <f aca="false">AHSP!$G$742</f>
        <v>0</v>
      </c>
      <c r="G71" s="45" t="n">
        <f aca="false">SUM(E71:F71)</f>
        <v>650000</v>
      </c>
      <c r="H71" s="45" t="n">
        <f aca="false">C71*E71</f>
        <v>650000</v>
      </c>
      <c r="I71" s="45" t="n">
        <f aca="false">C71*F71</f>
        <v>0</v>
      </c>
      <c r="J71" s="46" t="n">
        <f aca="false">C71*G71</f>
        <v>650000</v>
      </c>
      <c r="K71" s="50" t="s">
        <v>126</v>
      </c>
      <c r="L71" s="47" t="s">
        <v>59</v>
      </c>
      <c r="M71" s="41" t="s">
        <v>176</v>
      </c>
    </row>
    <row r="73" customFormat="false" ht="15" hidden="false" customHeight="true" outlineLevel="0" collapsed="false">
      <c r="A73" s="51"/>
      <c r="B73" s="52" t="s">
        <v>223</v>
      </c>
      <c r="C73" s="51"/>
      <c r="D73" s="51"/>
      <c r="E73" s="51"/>
      <c r="F73" s="51"/>
      <c r="G73" s="51"/>
      <c r="H73" s="53" t="n">
        <f aca="false">H5+H9+H16+H22+H25+H30+H32+H38+H44+H47+H59+H63+H65</f>
        <v>147186722.788781</v>
      </c>
      <c r="I73" s="53" t="n">
        <f aca="false">I5+I9+I16+I22+I25+I30+I32+I38+I44+I47+I59+I63+I65</f>
        <v>55534639.6594483</v>
      </c>
      <c r="J73" s="53" t="n">
        <f aca="false">J5+J9+J16+J22+J25+J30+J32+J38+J44+J47+J59+J63+J65</f>
        <v>202721362.44823</v>
      </c>
      <c r="K73" s="51"/>
      <c r="L73" s="51"/>
      <c r="M73" s="51"/>
    </row>
    <row r="74" customFormat="false" ht="15" hidden="false" customHeight="true" outlineLevel="0" collapsed="false">
      <c r="A74" s="24"/>
      <c r="B74" s="20" t="s">
        <v>224</v>
      </c>
      <c r="C74" s="24"/>
      <c r="D74" s="24"/>
      <c r="E74" s="24"/>
      <c r="F74" s="24"/>
      <c r="G74" s="24"/>
      <c r="H74" s="24"/>
      <c r="I74" s="24"/>
      <c r="J74" s="21" t="n">
        <f aca="false">Parameter!$B$7*('Perhitungan Bahan'!K62-'Perhitungan Bahan'!K63)</f>
        <v>2439776.31490993</v>
      </c>
      <c r="K74" s="24"/>
      <c r="L74" s="24"/>
      <c r="M74" s="24"/>
    </row>
    <row r="75" customFormat="false" ht="15" hidden="false" customHeight="true" outlineLevel="0" collapsed="false">
      <c r="A75" s="51"/>
      <c r="B75" s="52" t="s">
        <v>225</v>
      </c>
      <c r="C75" s="51"/>
      <c r="D75" s="51"/>
      <c r="E75" s="51"/>
      <c r="F75" s="51"/>
      <c r="G75" s="51"/>
      <c r="H75" s="51"/>
      <c r="I75" s="51"/>
      <c r="J75" s="53" t="n">
        <f aca="false">J73+J74</f>
        <v>205161138.76314</v>
      </c>
      <c r="K75" s="51"/>
      <c r="L75" s="51"/>
      <c r="M75" s="51"/>
    </row>
    <row r="76" customFormat="false" ht="15" hidden="false" customHeight="true" outlineLevel="0" collapsed="false">
      <c r="A76" s="24"/>
      <c r="B76" s="20" t="s">
        <v>226</v>
      </c>
      <c r="C76" s="24"/>
      <c r="D76" s="24"/>
      <c r="E76" s="24"/>
      <c r="F76" s="24"/>
      <c r="G76" s="24"/>
      <c r="H76" s="24"/>
      <c r="I76" s="24"/>
      <c r="J76" s="21" t="n">
        <f aca="false">J75*Parameter!$B$5</f>
        <v>20516113.876314</v>
      </c>
      <c r="K76" s="24"/>
      <c r="L76" s="24"/>
      <c r="M76" s="24"/>
    </row>
    <row r="77" customFormat="false" ht="15" hidden="false" customHeight="true" outlineLevel="0" collapsed="false">
      <c r="A77" s="54"/>
      <c r="B77" s="42" t="s">
        <v>227</v>
      </c>
      <c r="C77" s="54"/>
      <c r="D77" s="54"/>
      <c r="E77" s="54"/>
      <c r="F77" s="54"/>
      <c r="G77" s="54"/>
      <c r="H77" s="54"/>
      <c r="I77" s="54"/>
      <c r="J77" s="45" t="n">
        <f aca="false">IF(Volume!$B$23&gt;=200,(J75+J76)*Parameter!$B$10,0)</f>
        <v>0</v>
      </c>
      <c r="K77" s="54"/>
      <c r="L77" s="54"/>
      <c r="M77" s="54"/>
    </row>
    <row r="78" customFormat="false" ht="21.75" hidden="false" customHeight="true" outlineLevel="0" collapsed="false">
      <c r="A78" s="55"/>
      <c r="B78" s="56" t="s">
        <v>27</v>
      </c>
      <c r="C78" s="55"/>
      <c r="D78" s="55"/>
      <c r="E78" s="55"/>
      <c r="F78" s="55"/>
      <c r="G78" s="55"/>
      <c r="H78" s="55"/>
      <c r="I78" s="55"/>
      <c r="J78" s="57" t="n">
        <f aca="false">J75+J76+J77</f>
        <v>225677252.639454</v>
      </c>
      <c r="K78" s="55"/>
      <c r="L78" s="55"/>
      <c r="M78" s="55"/>
    </row>
    <row r="79" customFormat="false" ht="15" hidden="false" customHeight="true" outlineLevel="0" collapsed="false">
      <c r="A79" s="51"/>
      <c r="B79" s="52" t="s">
        <v>228</v>
      </c>
      <c r="C79" s="51"/>
      <c r="D79" s="51"/>
      <c r="E79" s="51"/>
      <c r="F79" s="51"/>
      <c r="G79" s="51"/>
      <c r="H79" s="51"/>
      <c r="I79" s="51"/>
      <c r="J79" s="53" t="n">
        <f aca="false">ROUND(J78,-5)</f>
        <v>225700000</v>
      </c>
      <c r="K79" s="51"/>
      <c r="L79" s="51"/>
      <c r="M79" s="51"/>
    </row>
  </sheetData>
  <conditionalFormatting sqref="L5:L79">
    <cfRule type="expression" priority="2" aboveAverage="0" equalAverage="0" bottom="0" percent="0" rank="0" text="" dxfId="3">
      <formula>$L5="Estimasi"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O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3"/>
    <col collapsed="false" customWidth="true" hidden="false" outlineLevel="0" max="2" min="2" style="1" width="48"/>
    <col collapsed="false" customWidth="true" hidden="false" outlineLevel="0" max="3" min="3" style="1" width="9"/>
    <col collapsed="false" customWidth="true" hidden="false" outlineLevel="0" max="4" min="4" style="1" width="7.2"/>
    <col collapsed="false" customWidth="true" hidden="false" outlineLevel="0" max="5" min="5" style="1" width="13.9"/>
    <col collapsed="false" customWidth="true" hidden="false" outlineLevel="0" max="7" min="6" style="0" width="13.9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1" min="10" style="0" width="15"/>
    <col collapsed="false" customWidth="true" hidden="false" outlineLevel="0" max="12" min="12" style="1" width="17.4"/>
    <col collapsed="false" customWidth="true" hidden="false" outlineLevel="0" max="13" min="13" style="1" width="30"/>
    <col collapsed="false" customWidth="true" hidden="false" outlineLevel="0" max="14" min="14" style="1" width="13.6"/>
    <col collapsed="false" customWidth="true" hidden="false" outlineLevel="0" max="15" min="15" style="1" width="12"/>
  </cols>
  <sheetData>
    <row r="1" customFormat="false" ht="25.5" hidden="false" customHeight="true" outlineLevel="0" collapsed="false">
      <c r="A1" s="2" t="s">
        <v>229</v>
      </c>
    </row>
    <row r="2" customFormat="false" ht="18" hidden="false" customHeight="true" outlineLevel="0" collapsed="false">
      <c r="A2" s="3" t="s">
        <v>230</v>
      </c>
    </row>
    <row r="4" customFormat="false" ht="30" hidden="false" customHeight="true" outlineLevel="0" collapsed="false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231</v>
      </c>
      <c r="H4" s="5" t="s">
        <v>70</v>
      </c>
      <c r="I4" s="5" t="s">
        <v>71</v>
      </c>
      <c r="J4" s="5" t="s">
        <v>72</v>
      </c>
      <c r="K4" s="5" t="s">
        <v>232</v>
      </c>
      <c r="L4" s="5" t="s">
        <v>73</v>
      </c>
      <c r="M4" s="5" t="s">
        <v>74</v>
      </c>
      <c r="N4" s="5" t="s">
        <v>75</v>
      </c>
      <c r="O4" s="5" t="s">
        <v>76</v>
      </c>
    </row>
    <row r="5" customFormat="false" ht="15" hidden="false" customHeight="true" outlineLevel="0" collapsed="false">
      <c r="A5" s="35" t="s">
        <v>77</v>
      </c>
      <c r="B5" s="35" t="s">
        <v>78</v>
      </c>
      <c r="C5" s="35"/>
      <c r="D5" s="35"/>
      <c r="E5" s="35"/>
      <c r="F5" s="35"/>
      <c r="G5" s="35"/>
      <c r="H5" s="35"/>
      <c r="I5" s="36" t="n">
        <f aca="false">SUM(I6:I8)</f>
        <v>1608000</v>
      </c>
      <c r="J5" s="36" t="n">
        <f aca="false">SUM(J6:J8)</f>
        <v>2506860</v>
      </c>
      <c r="K5" s="36" t="n">
        <f aca="false">SUM(K6:K8)</f>
        <v>617229</v>
      </c>
      <c r="L5" s="36" t="n">
        <f aca="false">SUM(L6:L8)</f>
        <v>4732089</v>
      </c>
      <c r="M5" s="35"/>
      <c r="N5" s="35"/>
      <c r="O5" s="35"/>
    </row>
    <row r="6" customFormat="false" ht="15" hidden="false" customHeight="true" outlineLevel="0" collapsed="false">
      <c r="A6" s="37" t="s">
        <v>79</v>
      </c>
      <c r="B6" s="20" t="s">
        <v>80</v>
      </c>
      <c r="C6" s="38" t="n">
        <f aca="false">AHSP!$K$5</f>
        <v>36</v>
      </c>
      <c r="D6" s="37" t="s">
        <v>81</v>
      </c>
      <c r="E6" s="39" t="n">
        <f aca="false">AHSP!$G$12</f>
        <v>3000</v>
      </c>
      <c r="F6" s="39" t="n">
        <f aca="false">AHSP!$G$9</f>
        <v>15260</v>
      </c>
      <c r="G6" s="39" t="n">
        <f aca="false">AHSP!$G$14</f>
        <v>2739</v>
      </c>
      <c r="H6" s="21" t="n">
        <f aca="false">SUM(E6:G6)</f>
        <v>20999</v>
      </c>
      <c r="I6" s="21" t="n">
        <f aca="false">C6*E6</f>
        <v>108000</v>
      </c>
      <c r="J6" s="21" t="n">
        <f aca="false">C6*F6</f>
        <v>549360</v>
      </c>
      <c r="K6" s="21" t="n">
        <f aca="false">C6*G6</f>
        <v>98604</v>
      </c>
      <c r="L6" s="26" t="n">
        <f aca="false">C6*H6</f>
        <v>755964</v>
      </c>
      <c r="M6" s="20"/>
      <c r="N6" s="40" t="s">
        <v>82</v>
      </c>
      <c r="O6" s="37" t="s">
        <v>83</v>
      </c>
    </row>
    <row r="7" customFormat="false" ht="15" hidden="false" customHeight="true" outlineLevel="0" collapsed="false">
      <c r="A7" s="41" t="s">
        <v>84</v>
      </c>
      <c r="B7" s="42" t="s">
        <v>85</v>
      </c>
      <c r="C7" s="43" t="n">
        <f aca="false">AHSP!$K$17</f>
        <v>1</v>
      </c>
      <c r="D7" s="41" t="s">
        <v>86</v>
      </c>
      <c r="E7" s="44" t="n">
        <f aca="false">AHSP!$G$22</f>
        <v>0</v>
      </c>
      <c r="F7" s="44" t="n">
        <f aca="false">AHSP!$G$20</f>
        <v>1957500</v>
      </c>
      <c r="G7" s="44" t="n">
        <f aca="false">AHSP!$G$24</f>
        <v>293625</v>
      </c>
      <c r="H7" s="45" t="n">
        <f aca="false">SUM(E7:G7)</f>
        <v>2251125</v>
      </c>
      <c r="I7" s="45" t="n">
        <f aca="false">C7*E7</f>
        <v>0</v>
      </c>
      <c r="J7" s="45" t="n">
        <f aca="false">C7*F7</f>
        <v>1957500</v>
      </c>
      <c r="K7" s="45" t="n">
        <f aca="false">C7*G7</f>
        <v>293625</v>
      </c>
      <c r="L7" s="46" t="n">
        <f aca="false">C7*H7</f>
        <v>2251125</v>
      </c>
      <c r="M7" s="42"/>
      <c r="N7" s="47" t="s">
        <v>59</v>
      </c>
      <c r="O7" s="41" t="s">
        <v>83</v>
      </c>
    </row>
    <row r="8" customFormat="false" ht="15" hidden="false" customHeight="true" outlineLevel="0" collapsed="false">
      <c r="A8" s="37" t="s">
        <v>87</v>
      </c>
      <c r="B8" s="20" t="s">
        <v>88</v>
      </c>
      <c r="C8" s="38" t="n">
        <f aca="false">AHSP!$K$27</f>
        <v>1</v>
      </c>
      <c r="D8" s="37" t="s">
        <v>86</v>
      </c>
      <c r="E8" s="39" t="n">
        <f aca="false">AHSP!$G$32</f>
        <v>1500000</v>
      </c>
      <c r="F8" s="39" t="n">
        <f aca="false">AHSP!$G$29</f>
        <v>0</v>
      </c>
      <c r="G8" s="39" t="n">
        <f aca="false">AHSP!$G$34</f>
        <v>225000</v>
      </c>
      <c r="H8" s="21" t="n">
        <f aca="false">SUM(E8:G8)</f>
        <v>1725000</v>
      </c>
      <c r="I8" s="21" t="n">
        <f aca="false">C8*E8</f>
        <v>1500000</v>
      </c>
      <c r="J8" s="21" t="n">
        <f aca="false">C8*F8</f>
        <v>0</v>
      </c>
      <c r="K8" s="21" t="n">
        <f aca="false">C8*G8</f>
        <v>225000</v>
      </c>
      <c r="L8" s="26" t="n">
        <f aca="false">C8*H8</f>
        <v>1725000</v>
      </c>
      <c r="M8" s="20"/>
      <c r="N8" s="47" t="s">
        <v>59</v>
      </c>
      <c r="O8" s="37" t="s">
        <v>83</v>
      </c>
    </row>
    <row r="9" customFormat="false" ht="15" hidden="false" customHeight="true" outlineLevel="0" collapsed="false">
      <c r="A9" s="35" t="s">
        <v>89</v>
      </c>
      <c r="B9" s="35" t="s">
        <v>90</v>
      </c>
      <c r="C9" s="35"/>
      <c r="D9" s="35"/>
      <c r="E9" s="35"/>
      <c r="F9" s="35"/>
      <c r="G9" s="35"/>
      <c r="H9" s="35"/>
      <c r="I9" s="36" t="n">
        <f aca="false">SUM(I10:I15)</f>
        <v>12412117.3365</v>
      </c>
      <c r="J9" s="36" t="n">
        <f aca="false">SUM(J10:J15)</f>
        <v>5569054.4331</v>
      </c>
      <c r="K9" s="36" t="n">
        <f aca="false">SUM(K10:K15)</f>
        <v>2697175.76544</v>
      </c>
      <c r="L9" s="36" t="n">
        <f aca="false">SUM(L10:L15)</f>
        <v>20678347.53504</v>
      </c>
      <c r="M9" s="35"/>
      <c r="N9" s="35"/>
      <c r="O9" s="35"/>
    </row>
    <row r="10" customFormat="false" ht="15" hidden="false" customHeight="true" outlineLevel="0" collapsed="false">
      <c r="A10" s="37" t="s">
        <v>91</v>
      </c>
      <c r="B10" s="20" t="s">
        <v>92</v>
      </c>
      <c r="C10" s="38" t="n">
        <f aca="false">AHSP!$K$37</f>
        <v>24.84</v>
      </c>
      <c r="D10" s="37" t="s">
        <v>93</v>
      </c>
      <c r="E10" s="39" t="n">
        <f aca="false">AHSP!$G$43</f>
        <v>0</v>
      </c>
      <c r="F10" s="39" t="n">
        <f aca="false">AHSP!$G$41</f>
        <v>88056.54</v>
      </c>
      <c r="G10" s="39" t="n">
        <f aca="false">AHSP!$G$45</f>
        <v>13208.481</v>
      </c>
      <c r="H10" s="21" t="n">
        <f aca="false">SUM(E10:G10)</f>
        <v>101265.021</v>
      </c>
      <c r="I10" s="21" t="n">
        <f aca="false">C10*E10</f>
        <v>0</v>
      </c>
      <c r="J10" s="21" t="n">
        <f aca="false">C10*F10</f>
        <v>2187324.4536</v>
      </c>
      <c r="K10" s="21" t="n">
        <f aca="false">C10*G10</f>
        <v>328098.66804</v>
      </c>
      <c r="L10" s="26" t="n">
        <f aca="false">C10*H10</f>
        <v>2515423.12164</v>
      </c>
      <c r="M10" s="20"/>
      <c r="N10" s="40" t="s">
        <v>82</v>
      </c>
      <c r="O10" s="37" t="s">
        <v>83</v>
      </c>
    </row>
    <row r="11" customFormat="false" ht="15" hidden="false" customHeight="true" outlineLevel="0" collapsed="false">
      <c r="A11" s="41" t="s">
        <v>94</v>
      </c>
      <c r="B11" s="42" t="s">
        <v>95</v>
      </c>
      <c r="C11" s="43" t="n">
        <f aca="false">AHSP!$K$48</f>
        <v>1.5525</v>
      </c>
      <c r="D11" s="41" t="s">
        <v>93</v>
      </c>
      <c r="E11" s="44" t="n">
        <f aca="false">AHSP!$G$55</f>
        <v>250800</v>
      </c>
      <c r="F11" s="44" t="n">
        <f aca="false">AHSP!$G$52</f>
        <v>35218.05</v>
      </c>
      <c r="G11" s="44" t="n">
        <f aca="false">AHSP!$G$57</f>
        <v>42902.7075</v>
      </c>
      <c r="H11" s="45" t="n">
        <f aca="false">SUM(E11:G11)</f>
        <v>328920.7575</v>
      </c>
      <c r="I11" s="45" t="n">
        <f aca="false">C11*E11</f>
        <v>389367</v>
      </c>
      <c r="J11" s="45" t="n">
        <f aca="false">C11*F11</f>
        <v>54676.022625</v>
      </c>
      <c r="K11" s="45" t="n">
        <f aca="false">C11*G11</f>
        <v>66606.45339375</v>
      </c>
      <c r="L11" s="46" t="n">
        <f aca="false">C11*H11</f>
        <v>510649.47601875</v>
      </c>
      <c r="M11" s="42"/>
      <c r="N11" s="48" t="s">
        <v>82</v>
      </c>
      <c r="O11" s="41" t="s">
        <v>83</v>
      </c>
    </row>
    <row r="12" customFormat="false" ht="15" hidden="false" customHeight="true" outlineLevel="0" collapsed="false">
      <c r="A12" s="37" t="s">
        <v>96</v>
      </c>
      <c r="B12" s="20" t="s">
        <v>97</v>
      </c>
      <c r="C12" s="38" t="n">
        <f aca="false">AHSP!$K$60</f>
        <v>10.35</v>
      </c>
      <c r="D12" s="37" t="s">
        <v>93</v>
      </c>
      <c r="E12" s="39" t="n">
        <f aca="false">AHSP!$G$71</f>
        <v>850255.65</v>
      </c>
      <c r="F12" s="39" t="n">
        <f aca="false">AHSP!$G$66</f>
        <v>215559</v>
      </c>
      <c r="G12" s="39" t="n">
        <f aca="false">AHSP!$G$73</f>
        <v>159872.1975</v>
      </c>
      <c r="H12" s="21" t="n">
        <f aca="false">SUM(E12:G12)</f>
        <v>1225686.8475</v>
      </c>
      <c r="I12" s="21" t="n">
        <f aca="false">C12*E12</f>
        <v>8800145.9775</v>
      </c>
      <c r="J12" s="21" t="n">
        <f aca="false">C12*F12</f>
        <v>2231035.65</v>
      </c>
      <c r="K12" s="21" t="n">
        <f aca="false">C12*G12</f>
        <v>1654677.244125</v>
      </c>
      <c r="L12" s="26" t="n">
        <f aca="false">C12*H12</f>
        <v>12685858.871625</v>
      </c>
      <c r="M12" s="20"/>
      <c r="N12" s="40" t="s">
        <v>82</v>
      </c>
      <c r="O12" s="37" t="s">
        <v>83</v>
      </c>
    </row>
    <row r="13" customFormat="false" ht="15" hidden="false" customHeight="true" outlineLevel="0" collapsed="false">
      <c r="A13" s="41" t="s">
        <v>98</v>
      </c>
      <c r="B13" s="42" t="s">
        <v>99</v>
      </c>
      <c r="C13" s="43" t="n">
        <f aca="false">AHSP!$K$76</f>
        <v>12.9375</v>
      </c>
      <c r="D13" s="41" t="s">
        <v>93</v>
      </c>
      <c r="E13" s="44" t="n">
        <f aca="false">AHSP!$G$82</f>
        <v>0</v>
      </c>
      <c r="F13" s="44" t="n">
        <f aca="false">AHSP!$G$80</f>
        <v>53399.67</v>
      </c>
      <c r="G13" s="44" t="n">
        <f aca="false">AHSP!$G$84</f>
        <v>8009.9505</v>
      </c>
      <c r="H13" s="45" t="n">
        <f aca="false">SUM(E13:G13)</f>
        <v>61409.6205</v>
      </c>
      <c r="I13" s="45" t="n">
        <f aca="false">C13*E13</f>
        <v>0</v>
      </c>
      <c r="J13" s="45" t="n">
        <f aca="false">C13*F13</f>
        <v>690858.230625</v>
      </c>
      <c r="K13" s="45" t="n">
        <f aca="false">C13*G13</f>
        <v>103628.73459375</v>
      </c>
      <c r="L13" s="46" t="n">
        <f aca="false">C13*H13</f>
        <v>794486.96521875</v>
      </c>
      <c r="M13" s="42"/>
      <c r="N13" s="48" t="s">
        <v>82</v>
      </c>
      <c r="O13" s="41" t="s">
        <v>83</v>
      </c>
    </row>
    <row r="14" customFormat="false" ht="15" hidden="false" customHeight="true" outlineLevel="0" collapsed="false">
      <c r="A14" s="37" t="s">
        <v>100</v>
      </c>
      <c r="B14" s="20" t="s">
        <v>101</v>
      </c>
      <c r="C14" s="38" t="n">
        <f aca="false">AHSP!$K$87</f>
        <v>4.05</v>
      </c>
      <c r="D14" s="37" t="s">
        <v>93</v>
      </c>
      <c r="E14" s="39" t="n">
        <f aca="false">AHSP!$G$94</f>
        <v>250800</v>
      </c>
      <c r="F14" s="39" t="n">
        <f aca="false">AHSP!$G$91</f>
        <v>35218.05</v>
      </c>
      <c r="G14" s="39" t="n">
        <f aca="false">AHSP!$G$96</f>
        <v>42902.7075</v>
      </c>
      <c r="H14" s="21" t="n">
        <f aca="false">SUM(E14:G14)</f>
        <v>328920.7575</v>
      </c>
      <c r="I14" s="21" t="n">
        <f aca="false">C14*E14</f>
        <v>1015740</v>
      </c>
      <c r="J14" s="21" t="n">
        <f aca="false">C14*F14</f>
        <v>142633.1025</v>
      </c>
      <c r="K14" s="21" t="n">
        <f aca="false">C14*G14</f>
        <v>173755.965375</v>
      </c>
      <c r="L14" s="26" t="n">
        <f aca="false">C14*H14</f>
        <v>1332129.067875</v>
      </c>
      <c r="M14" s="20"/>
      <c r="N14" s="40" t="s">
        <v>82</v>
      </c>
      <c r="O14" s="37" t="s">
        <v>83</v>
      </c>
    </row>
    <row r="15" customFormat="false" ht="15" hidden="false" customHeight="true" outlineLevel="0" collapsed="false">
      <c r="A15" s="41" t="s">
        <v>102</v>
      </c>
      <c r="B15" s="42" t="s">
        <v>103</v>
      </c>
      <c r="C15" s="43" t="n">
        <f aca="false">AHSP!$K$99</f>
        <v>2.025</v>
      </c>
      <c r="D15" s="41" t="s">
        <v>93</v>
      </c>
      <c r="E15" s="44" t="n">
        <f aca="false">AHSP!$G$110</f>
        <v>1089809.56</v>
      </c>
      <c r="F15" s="44" t="n">
        <f aca="false">AHSP!$G$105</f>
        <v>129642.95</v>
      </c>
      <c r="G15" s="44" t="n">
        <f aca="false">AHSP!$G$112</f>
        <v>182917.8765</v>
      </c>
      <c r="H15" s="45" t="n">
        <f aca="false">SUM(E15:G15)</f>
        <v>1402370.3865</v>
      </c>
      <c r="I15" s="45" t="n">
        <f aca="false">C15*E15</f>
        <v>2206864.359</v>
      </c>
      <c r="J15" s="45" t="n">
        <f aca="false">C15*F15</f>
        <v>262526.97375</v>
      </c>
      <c r="K15" s="45" t="n">
        <f aca="false">C15*G15</f>
        <v>370408.6999125</v>
      </c>
      <c r="L15" s="46" t="n">
        <f aca="false">C15*H15</f>
        <v>2839800.0326625</v>
      </c>
      <c r="M15" s="42"/>
      <c r="N15" s="48" t="s">
        <v>82</v>
      </c>
      <c r="O15" s="41" t="s">
        <v>83</v>
      </c>
    </row>
    <row r="16" customFormat="false" ht="15" hidden="false" customHeight="true" outlineLevel="0" collapsed="false">
      <c r="A16" s="35" t="s">
        <v>104</v>
      </c>
      <c r="B16" s="35" t="s">
        <v>105</v>
      </c>
      <c r="C16" s="35"/>
      <c r="D16" s="35"/>
      <c r="E16" s="35"/>
      <c r="F16" s="35"/>
      <c r="G16" s="35"/>
      <c r="H16" s="35"/>
      <c r="I16" s="36" t="n">
        <f aca="false">SUM(I17:I21)</f>
        <v>10978232.9784758</v>
      </c>
      <c r="J16" s="36" t="n">
        <f aca="false">SUM(J17:J21)</f>
        <v>4387790.08710952</v>
      </c>
      <c r="K16" s="36" t="n">
        <f aca="false">SUM(K17:K21)</f>
        <v>2304903.45983779</v>
      </c>
      <c r="L16" s="36" t="n">
        <f aca="false">SUM(L17:L21)</f>
        <v>17670926.5254231</v>
      </c>
      <c r="M16" s="35"/>
      <c r="N16" s="35"/>
      <c r="O16" s="35"/>
    </row>
    <row r="17" customFormat="false" ht="15" hidden="false" customHeight="true" outlineLevel="0" collapsed="false">
      <c r="A17" s="37" t="s">
        <v>106</v>
      </c>
      <c r="B17" s="20" t="s">
        <v>107</v>
      </c>
      <c r="C17" s="38" t="n">
        <f aca="false">AHSP!$K$115</f>
        <v>1.035</v>
      </c>
      <c r="D17" s="37" t="s">
        <v>93</v>
      </c>
      <c r="E17" s="39" t="n">
        <f aca="false">AHSP!$G$135</f>
        <v>3356449.49719772</v>
      </c>
      <c r="F17" s="39" t="n">
        <f aca="false">AHSP!$G$123</f>
        <v>1341761.96</v>
      </c>
      <c r="G17" s="39" t="n">
        <f aca="false">AHSP!$G$137</f>
        <v>704731.718579659</v>
      </c>
      <c r="H17" s="21" t="n">
        <f aca="false">SUM(E17:G17)</f>
        <v>5402943.17577738</v>
      </c>
      <c r="I17" s="21" t="n">
        <f aca="false">C17*E17</f>
        <v>3473925.22959964</v>
      </c>
      <c r="J17" s="21" t="n">
        <f aca="false">C17*F17</f>
        <v>1388723.6286</v>
      </c>
      <c r="K17" s="21" t="n">
        <f aca="false">C17*G17</f>
        <v>729397.328729947</v>
      </c>
      <c r="L17" s="26" t="n">
        <f aca="false">C17*H17</f>
        <v>5592046.18692959</v>
      </c>
      <c r="M17" s="20"/>
      <c r="N17" s="40" t="s">
        <v>82</v>
      </c>
      <c r="O17" s="37" t="s">
        <v>83</v>
      </c>
    </row>
    <row r="18" customFormat="false" ht="15" hidden="false" customHeight="true" outlineLevel="0" collapsed="false">
      <c r="A18" s="41" t="s">
        <v>108</v>
      </c>
      <c r="B18" s="42" t="s">
        <v>109</v>
      </c>
      <c r="C18" s="43" t="n">
        <f aca="false">AHSP!$K$140</f>
        <v>0.864</v>
      </c>
      <c r="D18" s="41" t="s">
        <v>93</v>
      </c>
      <c r="E18" s="44" t="n">
        <f aca="false">AHSP!$G$160</f>
        <v>3761682.2127027</v>
      </c>
      <c r="F18" s="44" t="n">
        <f aca="false">AHSP!$G$148</f>
        <v>1415137.41</v>
      </c>
      <c r="G18" s="44" t="n">
        <f aca="false">AHSP!$G$162</f>
        <v>776522.943405405</v>
      </c>
      <c r="H18" s="45" t="n">
        <f aca="false">SUM(E18:G18)</f>
        <v>5953342.56610811</v>
      </c>
      <c r="I18" s="45" t="n">
        <f aca="false">C18*E18</f>
        <v>3250093.43177513</v>
      </c>
      <c r="J18" s="45" t="n">
        <f aca="false">C18*F18</f>
        <v>1222678.72224</v>
      </c>
      <c r="K18" s="45" t="n">
        <f aca="false">C18*G18</f>
        <v>670915.82310227</v>
      </c>
      <c r="L18" s="46" t="n">
        <f aca="false">C18*H18</f>
        <v>5143687.97711741</v>
      </c>
      <c r="M18" s="42"/>
      <c r="N18" s="48" t="s">
        <v>82</v>
      </c>
      <c r="O18" s="41" t="s">
        <v>83</v>
      </c>
    </row>
    <row r="19" customFormat="false" ht="15" hidden="false" customHeight="true" outlineLevel="0" collapsed="false">
      <c r="A19" s="37" t="s">
        <v>110</v>
      </c>
      <c r="B19" s="20" t="s">
        <v>111</v>
      </c>
      <c r="C19" s="38" t="n">
        <f aca="false">AHSP!$K$165</f>
        <v>0.621</v>
      </c>
      <c r="D19" s="37" t="s">
        <v>93</v>
      </c>
      <c r="E19" s="39" t="n">
        <f aca="false">AHSP!$G$185</f>
        <v>4370248.44820768</v>
      </c>
      <c r="F19" s="39" t="n">
        <f aca="false">AHSP!$G$173</f>
        <v>1730071.39</v>
      </c>
      <c r="G19" s="39" t="n">
        <f aca="false">AHSP!$G$187</f>
        <v>915047.975731152</v>
      </c>
      <c r="H19" s="21" t="n">
        <f aca="false">SUM(E19:G19)</f>
        <v>7015367.81393883</v>
      </c>
      <c r="I19" s="21" t="n">
        <f aca="false">C19*E19</f>
        <v>2713924.28633697</v>
      </c>
      <c r="J19" s="21" t="n">
        <f aca="false">C19*F19</f>
        <v>1074374.33319</v>
      </c>
      <c r="K19" s="21" t="n">
        <f aca="false">C19*G19</f>
        <v>568244.792929045</v>
      </c>
      <c r="L19" s="26" t="n">
        <f aca="false">C19*H19</f>
        <v>4356543.41245601</v>
      </c>
      <c r="M19" s="20"/>
      <c r="N19" s="40" t="s">
        <v>82</v>
      </c>
      <c r="O19" s="37" t="s">
        <v>83</v>
      </c>
    </row>
    <row r="20" customFormat="false" ht="15" hidden="false" customHeight="true" outlineLevel="0" collapsed="false">
      <c r="A20" s="41" t="s">
        <v>112</v>
      </c>
      <c r="B20" s="42" t="s">
        <v>113</v>
      </c>
      <c r="C20" s="43" t="n">
        <f aca="false">AHSP!$K$190</f>
        <v>0.16272</v>
      </c>
      <c r="D20" s="41" t="s">
        <v>93</v>
      </c>
      <c r="E20" s="44" t="n">
        <f aca="false">AHSP!$G$210</f>
        <v>4525388.91991117</v>
      </c>
      <c r="F20" s="44" t="n">
        <f aca="false">AHSP!$G$198</f>
        <v>2262695.29</v>
      </c>
      <c r="G20" s="44" t="n">
        <f aca="false">AHSP!$G$212</f>
        <v>1018212.63148668</v>
      </c>
      <c r="H20" s="45" t="n">
        <f aca="false">SUM(E20:G20)</f>
        <v>7806296.84139785</v>
      </c>
      <c r="I20" s="45" t="n">
        <f aca="false">C20*E20</f>
        <v>736371.285047946</v>
      </c>
      <c r="J20" s="45" t="n">
        <f aca="false">C20*F20</f>
        <v>368185.7775888</v>
      </c>
      <c r="K20" s="45" t="n">
        <f aca="false">C20*G20</f>
        <v>165683.559395512</v>
      </c>
      <c r="L20" s="46" t="n">
        <f aca="false">C20*H20</f>
        <v>1270240.62203226</v>
      </c>
      <c r="M20" s="42"/>
      <c r="N20" s="48" t="s">
        <v>82</v>
      </c>
      <c r="O20" s="41" t="s">
        <v>83</v>
      </c>
    </row>
    <row r="21" customFormat="false" ht="15" hidden="false" customHeight="true" outlineLevel="0" collapsed="false">
      <c r="A21" s="37" t="s">
        <v>114</v>
      </c>
      <c r="B21" s="20" t="s">
        <v>115</v>
      </c>
      <c r="C21" s="38" t="n">
        <f aca="false">AHSP!$K$215</f>
        <v>0.199532253031935</v>
      </c>
      <c r="D21" s="37" t="s">
        <v>93</v>
      </c>
      <c r="E21" s="39" t="n">
        <f aca="false">AHSP!$G$235</f>
        <v>4029016.52991117</v>
      </c>
      <c r="F21" s="39" t="n">
        <f aca="false">AHSP!$G$223</f>
        <v>1673050.95</v>
      </c>
      <c r="G21" s="39" t="n">
        <f aca="false">AHSP!$G$237</f>
        <v>855310.121986675</v>
      </c>
      <c r="H21" s="21" t="n">
        <f aca="false">SUM(E21:G21)</f>
        <v>6557377.60189785</v>
      </c>
      <c r="I21" s="21" t="n">
        <f aca="false">C21*E21</f>
        <v>803918.745716083</v>
      </c>
      <c r="J21" s="21" t="n">
        <f aca="false">C21*F21</f>
        <v>333827.625490719</v>
      </c>
      <c r="K21" s="21" t="n">
        <f aca="false">C21*G21</f>
        <v>170661.95568102</v>
      </c>
      <c r="L21" s="26" t="n">
        <f aca="false">C21*H21</f>
        <v>1308408.32688782</v>
      </c>
      <c r="M21" s="20"/>
      <c r="N21" s="40" t="s">
        <v>82</v>
      </c>
      <c r="O21" s="37" t="s">
        <v>83</v>
      </c>
    </row>
    <row r="22" customFormat="false" ht="15" hidden="false" customHeight="true" outlineLevel="0" collapsed="false">
      <c r="A22" s="35" t="s">
        <v>116</v>
      </c>
      <c r="B22" s="35" t="s">
        <v>117</v>
      </c>
      <c r="C22" s="35"/>
      <c r="D22" s="35"/>
      <c r="E22" s="35"/>
      <c r="F22" s="35"/>
      <c r="G22" s="35"/>
      <c r="H22" s="35"/>
      <c r="I22" s="36" t="n">
        <f aca="false">SUM(I23:I24)</f>
        <v>15971058.3268234</v>
      </c>
      <c r="J22" s="36" t="n">
        <f aca="false">SUM(J23:J24)</f>
        <v>18526162.4596087</v>
      </c>
      <c r="K22" s="36" t="n">
        <f aca="false">SUM(K23:K24)</f>
        <v>5174583.11796481</v>
      </c>
      <c r="L22" s="36" t="n">
        <f aca="false">SUM(L23:L24)</f>
        <v>39671803.9043969</v>
      </c>
      <c r="M22" s="35"/>
      <c r="N22" s="35"/>
      <c r="O22" s="35"/>
    </row>
    <row r="23" customFormat="false" ht="15" hidden="false" customHeight="true" outlineLevel="0" collapsed="false">
      <c r="A23" s="37" t="s">
        <v>118</v>
      </c>
      <c r="B23" s="20" t="s">
        <v>119</v>
      </c>
      <c r="C23" s="38" t="n">
        <f aca="false">AHSP!$K$240</f>
        <v>106.502304845413</v>
      </c>
      <c r="D23" s="37" t="s">
        <v>81</v>
      </c>
      <c r="E23" s="39" t="n">
        <f aca="false">AHSP!$G$250</f>
        <v>105276.864</v>
      </c>
      <c r="F23" s="39" t="n">
        <f aca="false">AHSP!$G$246</f>
        <v>37256.1</v>
      </c>
      <c r="G23" s="39" t="n">
        <f aca="false">AHSP!$G$252</f>
        <v>21379.9446</v>
      </c>
      <c r="H23" s="21" t="n">
        <f aca="false">SUM(E23:G23)</f>
        <v>163912.9086</v>
      </c>
      <c r="I23" s="21" t="n">
        <f aca="false">C23*E23</f>
        <v>11212228.6628971</v>
      </c>
      <c r="J23" s="21" t="n">
        <f aca="false">C23*F23</f>
        <v>3967860.5195512</v>
      </c>
      <c r="K23" s="21" t="n">
        <f aca="false">C23*G23</f>
        <v>2277013.37736725</v>
      </c>
      <c r="L23" s="26" t="n">
        <f aca="false">C23*H23</f>
        <v>17457102.5598156</v>
      </c>
      <c r="M23" s="20"/>
      <c r="N23" s="40" t="s">
        <v>82</v>
      </c>
      <c r="O23" s="37" t="s">
        <v>83</v>
      </c>
    </row>
    <row r="24" customFormat="false" ht="15" hidden="false" customHeight="true" outlineLevel="0" collapsed="false">
      <c r="A24" s="41" t="s">
        <v>120</v>
      </c>
      <c r="B24" s="42" t="s">
        <v>121</v>
      </c>
      <c r="C24" s="43" t="n">
        <f aca="false">AHSP!$K$255</f>
        <v>202.612304845413</v>
      </c>
      <c r="D24" s="41" t="s">
        <v>81</v>
      </c>
      <c r="E24" s="44" t="n">
        <f aca="false">AHSP!$G$265</f>
        <v>23487.3675</v>
      </c>
      <c r="F24" s="44" t="n">
        <f aca="false">AHSP!$G$261</f>
        <v>71853</v>
      </c>
      <c r="G24" s="44" t="n">
        <f aca="false">AHSP!$G$267</f>
        <v>14301.055125</v>
      </c>
      <c r="H24" s="45" t="n">
        <f aca="false">SUM(E24:G24)</f>
        <v>109641.422625</v>
      </c>
      <c r="I24" s="45" t="n">
        <f aca="false">C24*E24</f>
        <v>4758829.66392625</v>
      </c>
      <c r="J24" s="45" t="n">
        <f aca="false">C24*F24</f>
        <v>14558301.9400575</v>
      </c>
      <c r="K24" s="45" t="n">
        <f aca="false">C24*G24</f>
        <v>2897569.74059756</v>
      </c>
      <c r="L24" s="46" t="n">
        <f aca="false">C24*H24</f>
        <v>22214701.3445813</v>
      </c>
      <c r="M24" s="42"/>
      <c r="N24" s="48" t="s">
        <v>82</v>
      </c>
      <c r="O24" s="41" t="s">
        <v>83</v>
      </c>
    </row>
    <row r="25" customFormat="false" ht="15" hidden="false" customHeight="true" outlineLevel="0" collapsed="false">
      <c r="A25" s="35" t="s">
        <v>122</v>
      </c>
      <c r="B25" s="35" t="s">
        <v>123</v>
      </c>
      <c r="C25" s="35"/>
      <c r="D25" s="35"/>
      <c r="E25" s="35"/>
      <c r="F25" s="35"/>
      <c r="G25" s="35"/>
      <c r="H25" s="35"/>
      <c r="I25" s="36" t="n">
        <f aca="false">SUM(I26:I29)</f>
        <v>22784786.941376</v>
      </c>
      <c r="J25" s="36" t="n">
        <f aca="false">SUM(J26:J29)</f>
        <v>6299480.72729238</v>
      </c>
      <c r="K25" s="36" t="n">
        <f aca="false">SUM(K26:K29)</f>
        <v>4362640.15030025</v>
      </c>
      <c r="L25" s="36" t="n">
        <f aca="false">SUM(L26:L29)</f>
        <v>33446907.8189686</v>
      </c>
      <c r="M25" s="35"/>
      <c r="N25" s="35"/>
      <c r="O25" s="35"/>
    </row>
    <row r="26" customFormat="false" ht="15" hidden="false" customHeight="true" outlineLevel="0" collapsed="false">
      <c r="A26" s="37" t="s">
        <v>124</v>
      </c>
      <c r="B26" s="20" t="s">
        <v>125</v>
      </c>
      <c r="C26" s="38" t="n">
        <f aca="false">AHSP!$K$270</f>
        <v>59.8596759095804</v>
      </c>
      <c r="D26" s="37" t="s">
        <v>81</v>
      </c>
      <c r="E26" s="39" t="n">
        <f aca="false">AHSP!$G$274</f>
        <v>201600</v>
      </c>
      <c r="F26" s="39" t="n">
        <f aca="false">AHSP!$G$271</f>
        <v>0</v>
      </c>
      <c r="G26" s="39" t="n">
        <f aca="false">AHSP!$G$276</f>
        <v>30240</v>
      </c>
      <c r="H26" s="21" t="n">
        <f aca="false">SUM(E26:G26)</f>
        <v>231840</v>
      </c>
      <c r="I26" s="21" t="n">
        <f aca="false">C26*E26</f>
        <v>12067710.6633714</v>
      </c>
      <c r="J26" s="21" t="n">
        <f aca="false">C26*F26</f>
        <v>0</v>
      </c>
      <c r="K26" s="21" t="n">
        <f aca="false">C26*G26</f>
        <v>1810156.59950571</v>
      </c>
      <c r="L26" s="26" t="n">
        <f aca="false">C26*H26</f>
        <v>13877867.2628771</v>
      </c>
      <c r="M26" s="49" t="s">
        <v>126</v>
      </c>
      <c r="N26" s="40" t="s">
        <v>82</v>
      </c>
      <c r="O26" s="37" t="s">
        <v>83</v>
      </c>
    </row>
    <row r="27" customFormat="false" ht="15" hidden="false" customHeight="true" outlineLevel="0" collapsed="false">
      <c r="A27" s="41" t="s">
        <v>127</v>
      </c>
      <c r="B27" s="42" t="s">
        <v>128</v>
      </c>
      <c r="C27" s="43" t="n">
        <f aca="false">AHSP!$K$279</f>
        <v>59.8596759095804</v>
      </c>
      <c r="D27" s="41" t="s">
        <v>81</v>
      </c>
      <c r="E27" s="44" t="n">
        <f aca="false">AHSP!$G$286</f>
        <v>128235</v>
      </c>
      <c r="F27" s="44" t="n">
        <f aca="false">AHSP!$G$283</f>
        <v>100505</v>
      </c>
      <c r="G27" s="44" t="n">
        <f aca="false">AHSP!$G$288</f>
        <v>34311</v>
      </c>
      <c r="H27" s="45" t="n">
        <f aca="false">SUM(E27:G27)</f>
        <v>263051</v>
      </c>
      <c r="I27" s="45" t="n">
        <f aca="false">C27*E27</f>
        <v>7676105.54026504</v>
      </c>
      <c r="J27" s="45" t="n">
        <f aca="false">C27*F27</f>
        <v>6016196.72729238</v>
      </c>
      <c r="K27" s="45" t="n">
        <f aca="false">C27*G27</f>
        <v>2053845.34013361</v>
      </c>
      <c r="L27" s="46" t="n">
        <f aca="false">C27*H27</f>
        <v>15746147.607691</v>
      </c>
      <c r="M27" s="42"/>
      <c r="N27" s="48" t="s">
        <v>82</v>
      </c>
      <c r="O27" s="41" t="s">
        <v>83</v>
      </c>
    </row>
    <row r="28" customFormat="false" ht="15" hidden="false" customHeight="true" outlineLevel="0" collapsed="false">
      <c r="A28" s="37" t="s">
        <v>129</v>
      </c>
      <c r="B28" s="20" t="s">
        <v>130</v>
      </c>
      <c r="C28" s="38" t="n">
        <f aca="false">AHSP!$K$291</f>
        <v>7.2</v>
      </c>
      <c r="D28" s="37" t="s">
        <v>131</v>
      </c>
      <c r="E28" s="39" t="n">
        <f aca="false">AHSP!$G$300</f>
        <v>34510.95</v>
      </c>
      <c r="F28" s="39" t="n">
        <f aca="false">AHSP!$G$295</f>
        <v>39345</v>
      </c>
      <c r="G28" s="39" t="n">
        <f aca="false">AHSP!$G$302</f>
        <v>11078.3925</v>
      </c>
      <c r="H28" s="21" t="n">
        <f aca="false">SUM(E28:G28)</f>
        <v>84934.3425</v>
      </c>
      <c r="I28" s="21" t="n">
        <f aca="false">C28*E28</f>
        <v>248478.84</v>
      </c>
      <c r="J28" s="21" t="n">
        <f aca="false">C28*F28</f>
        <v>283284</v>
      </c>
      <c r="K28" s="21" t="n">
        <f aca="false">C28*G28</f>
        <v>79764.426</v>
      </c>
      <c r="L28" s="26" t="n">
        <f aca="false">C28*H28</f>
        <v>611527.266</v>
      </c>
      <c r="M28" s="20"/>
      <c r="N28" s="40" t="s">
        <v>82</v>
      </c>
      <c r="O28" s="37" t="s">
        <v>83</v>
      </c>
    </row>
    <row r="29" customFormat="false" ht="15" hidden="false" customHeight="true" outlineLevel="0" collapsed="false">
      <c r="A29" s="41" t="s">
        <v>132</v>
      </c>
      <c r="B29" s="42" t="s">
        <v>133</v>
      </c>
      <c r="C29" s="43" t="n">
        <f aca="false">AHSP!$K$305</f>
        <v>31.0276877526612</v>
      </c>
      <c r="D29" s="41" t="s">
        <v>131</v>
      </c>
      <c r="E29" s="44" t="n">
        <f aca="false">AHSP!$G$309</f>
        <v>90000</v>
      </c>
      <c r="F29" s="44" t="n">
        <f aca="false">AHSP!$G$306</f>
        <v>0</v>
      </c>
      <c r="G29" s="44" t="n">
        <f aca="false">AHSP!$G$311</f>
        <v>13500</v>
      </c>
      <c r="H29" s="45" t="n">
        <f aca="false">SUM(E29:G29)</f>
        <v>103500</v>
      </c>
      <c r="I29" s="45" t="n">
        <f aca="false">C29*E29</f>
        <v>2792491.89773951</v>
      </c>
      <c r="J29" s="45" t="n">
        <f aca="false">C29*F29</f>
        <v>0</v>
      </c>
      <c r="K29" s="45" t="n">
        <f aca="false">C29*G29</f>
        <v>418873.784660927</v>
      </c>
      <c r="L29" s="46" t="n">
        <f aca="false">C29*H29</f>
        <v>3211365.68240044</v>
      </c>
      <c r="M29" s="50" t="s">
        <v>126</v>
      </c>
      <c r="N29" s="47" t="s">
        <v>59</v>
      </c>
      <c r="O29" s="41" t="s">
        <v>83</v>
      </c>
    </row>
    <row r="30" customFormat="false" ht="15" hidden="false" customHeight="true" outlineLevel="0" collapsed="false">
      <c r="A30" s="35" t="s">
        <v>134</v>
      </c>
      <c r="B30" s="35" t="s">
        <v>135</v>
      </c>
      <c r="C30" s="35"/>
      <c r="D30" s="35"/>
      <c r="E30" s="35"/>
      <c r="F30" s="35"/>
      <c r="G30" s="35"/>
      <c r="H30" s="35"/>
      <c r="I30" s="36" t="n">
        <f aca="false">SUM(I31:I31)</f>
        <v>2121288.1425</v>
      </c>
      <c r="J30" s="36" t="n">
        <f aca="false">SUM(J31:J31)</f>
        <v>1943595</v>
      </c>
      <c r="K30" s="36" t="n">
        <f aca="false">SUM(K31:K31)</f>
        <v>609732.471375</v>
      </c>
      <c r="L30" s="36" t="n">
        <f aca="false">SUM(L31:L31)</f>
        <v>4674615.613875</v>
      </c>
      <c r="M30" s="35"/>
      <c r="N30" s="35"/>
      <c r="O30" s="35"/>
    </row>
    <row r="31" customFormat="false" ht="15" hidden="false" customHeight="true" outlineLevel="0" collapsed="false">
      <c r="A31" s="37" t="s">
        <v>136</v>
      </c>
      <c r="B31" s="20" t="s">
        <v>137</v>
      </c>
      <c r="C31" s="38" t="n">
        <f aca="false">AHSP!$K$314</f>
        <v>40.5</v>
      </c>
      <c r="D31" s="37" t="s">
        <v>81</v>
      </c>
      <c r="E31" s="39" t="n">
        <f aca="false">AHSP!$G$323</f>
        <v>52377.485</v>
      </c>
      <c r="F31" s="39" t="n">
        <f aca="false">AHSP!$G$318</f>
        <v>47990</v>
      </c>
      <c r="G31" s="39" t="n">
        <f aca="false">AHSP!$G$325</f>
        <v>15055.12275</v>
      </c>
      <c r="H31" s="21" t="n">
        <f aca="false">SUM(E31:G31)</f>
        <v>115422.60775</v>
      </c>
      <c r="I31" s="21" t="n">
        <f aca="false">C31*E31</f>
        <v>2121288.1425</v>
      </c>
      <c r="J31" s="21" t="n">
        <f aca="false">C31*F31</f>
        <v>1943595</v>
      </c>
      <c r="K31" s="21" t="n">
        <f aca="false">C31*G31</f>
        <v>609732.471375</v>
      </c>
      <c r="L31" s="26" t="n">
        <f aca="false">C31*H31</f>
        <v>4674615.613875</v>
      </c>
      <c r="M31" s="20"/>
      <c r="N31" s="40" t="s">
        <v>82</v>
      </c>
      <c r="O31" s="37" t="s">
        <v>83</v>
      </c>
    </row>
    <row r="32" customFormat="false" ht="15" hidden="false" customHeight="true" outlineLevel="0" collapsed="false">
      <c r="A32" s="35" t="s">
        <v>138</v>
      </c>
      <c r="B32" s="35" t="s">
        <v>139</v>
      </c>
      <c r="C32" s="35"/>
      <c r="D32" s="35"/>
      <c r="E32" s="35"/>
      <c r="F32" s="35"/>
      <c r="G32" s="35"/>
      <c r="H32" s="35"/>
      <c r="I32" s="36" t="n">
        <f aca="false">SUM(I33:I37)</f>
        <v>8799479.379</v>
      </c>
      <c r="J32" s="36" t="n">
        <f aca="false">SUM(J33:J37)</f>
        <v>4915291.45</v>
      </c>
      <c r="K32" s="36" t="n">
        <f aca="false">SUM(K33:K37)</f>
        <v>2057215.62435</v>
      </c>
      <c r="L32" s="36" t="n">
        <f aca="false">SUM(L33:L37)</f>
        <v>15771986.45335</v>
      </c>
      <c r="M32" s="35"/>
      <c r="N32" s="35"/>
      <c r="O32" s="35"/>
    </row>
    <row r="33" customFormat="false" ht="15" hidden="false" customHeight="true" outlineLevel="0" collapsed="false">
      <c r="A33" s="37" t="s">
        <v>140</v>
      </c>
      <c r="B33" s="20" t="s">
        <v>141</v>
      </c>
      <c r="C33" s="38" t="n">
        <f aca="false">AHSP!$K$328</f>
        <v>29.55</v>
      </c>
      <c r="D33" s="37" t="s">
        <v>81</v>
      </c>
      <c r="E33" s="39" t="n">
        <f aca="false">AHSP!$G$338</f>
        <v>177837.4</v>
      </c>
      <c r="F33" s="39" t="n">
        <f aca="false">AHSP!$G$332</f>
        <v>74775</v>
      </c>
      <c r="G33" s="39" t="n">
        <f aca="false">AHSP!$G$340</f>
        <v>37891.86</v>
      </c>
      <c r="H33" s="21" t="n">
        <f aca="false">SUM(E33:G33)</f>
        <v>290504.26</v>
      </c>
      <c r="I33" s="21" t="n">
        <f aca="false">C33*E33</f>
        <v>5255095.17</v>
      </c>
      <c r="J33" s="21" t="n">
        <f aca="false">C33*F33</f>
        <v>2209601.25</v>
      </c>
      <c r="K33" s="21" t="n">
        <f aca="false">C33*G33</f>
        <v>1119704.463</v>
      </c>
      <c r="L33" s="26" t="n">
        <f aca="false">C33*H33</f>
        <v>8584400.883</v>
      </c>
      <c r="M33" s="20"/>
      <c r="N33" s="40" t="s">
        <v>82</v>
      </c>
      <c r="O33" s="37" t="s">
        <v>83</v>
      </c>
    </row>
    <row r="34" customFormat="false" ht="15" hidden="false" customHeight="true" outlineLevel="0" collapsed="false">
      <c r="A34" s="41" t="s">
        <v>142</v>
      </c>
      <c r="B34" s="42" t="s">
        <v>143</v>
      </c>
      <c r="C34" s="43" t="n">
        <f aca="false">AHSP!$K$343</f>
        <v>61</v>
      </c>
      <c r="D34" s="41" t="s">
        <v>131</v>
      </c>
      <c r="E34" s="44" t="n">
        <f aca="false">AHSP!$G$352</f>
        <v>16622.5</v>
      </c>
      <c r="F34" s="44" t="n">
        <f aca="false">AHSP!$G$347</f>
        <v>19896.5</v>
      </c>
      <c r="G34" s="44" t="n">
        <f aca="false">AHSP!$G$354</f>
        <v>5477.85</v>
      </c>
      <c r="H34" s="45" t="n">
        <f aca="false">SUM(E34:G34)</f>
        <v>41996.85</v>
      </c>
      <c r="I34" s="45" t="n">
        <f aca="false">C34*E34</f>
        <v>1013972.5</v>
      </c>
      <c r="J34" s="45" t="n">
        <f aca="false">C34*F34</f>
        <v>1213686.5</v>
      </c>
      <c r="K34" s="45" t="n">
        <f aca="false">C34*G34</f>
        <v>334148.85</v>
      </c>
      <c r="L34" s="46" t="n">
        <f aca="false">C34*H34</f>
        <v>2561807.85</v>
      </c>
      <c r="M34" s="42"/>
      <c r="N34" s="48" t="s">
        <v>82</v>
      </c>
      <c r="O34" s="41" t="s">
        <v>83</v>
      </c>
    </row>
    <row r="35" customFormat="false" ht="15" hidden="false" customHeight="true" outlineLevel="0" collapsed="false">
      <c r="A35" s="37" t="s">
        <v>144</v>
      </c>
      <c r="B35" s="20" t="s">
        <v>145</v>
      </c>
      <c r="C35" s="38" t="n">
        <f aca="false">AHSP!$K$357</f>
        <v>3</v>
      </c>
      <c r="D35" s="37" t="s">
        <v>81</v>
      </c>
      <c r="E35" s="39" t="n">
        <f aca="false">AHSP!$G$367</f>
        <v>139649.9</v>
      </c>
      <c r="F35" s="39" t="n">
        <f aca="false">AHSP!$G$361</f>
        <v>65153</v>
      </c>
      <c r="G35" s="39" t="n">
        <f aca="false">AHSP!$G$369</f>
        <v>30720.435</v>
      </c>
      <c r="H35" s="21" t="n">
        <f aca="false">SUM(E35:G35)</f>
        <v>235523.335</v>
      </c>
      <c r="I35" s="21" t="n">
        <f aca="false">C35*E35</f>
        <v>418949.7</v>
      </c>
      <c r="J35" s="21" t="n">
        <f aca="false">C35*F35</f>
        <v>195459</v>
      </c>
      <c r="K35" s="21" t="n">
        <f aca="false">C35*G35</f>
        <v>92161.305</v>
      </c>
      <c r="L35" s="26" t="n">
        <f aca="false">C35*H35</f>
        <v>706570.005</v>
      </c>
      <c r="M35" s="20"/>
      <c r="N35" s="40" t="s">
        <v>82</v>
      </c>
      <c r="O35" s="37" t="s">
        <v>83</v>
      </c>
    </row>
    <row r="36" customFormat="false" ht="15" hidden="false" customHeight="true" outlineLevel="0" collapsed="false">
      <c r="A36" s="41" t="s">
        <v>146</v>
      </c>
      <c r="B36" s="42" t="s">
        <v>147</v>
      </c>
      <c r="C36" s="43" t="n">
        <f aca="false">AHSP!$K$372</f>
        <v>15.4</v>
      </c>
      <c r="D36" s="41" t="s">
        <v>81</v>
      </c>
      <c r="E36" s="44" t="n">
        <f aca="false">AHSP!$G$382</f>
        <v>105724.835</v>
      </c>
      <c r="F36" s="44" t="n">
        <f aca="false">AHSP!$G$376</f>
        <v>65153</v>
      </c>
      <c r="G36" s="44" t="n">
        <f aca="false">AHSP!$G$384</f>
        <v>25631.67525</v>
      </c>
      <c r="H36" s="45" t="n">
        <f aca="false">SUM(E36:G36)</f>
        <v>196509.51025</v>
      </c>
      <c r="I36" s="45" t="n">
        <f aca="false">C36*E36</f>
        <v>1628162.459</v>
      </c>
      <c r="J36" s="45" t="n">
        <f aca="false">C36*F36</f>
        <v>1003356.2</v>
      </c>
      <c r="K36" s="45" t="n">
        <f aca="false">C36*G36</f>
        <v>394727.79885</v>
      </c>
      <c r="L36" s="46" t="n">
        <f aca="false">C36*H36</f>
        <v>3026246.45785</v>
      </c>
      <c r="M36" s="42"/>
      <c r="N36" s="48" t="s">
        <v>82</v>
      </c>
      <c r="O36" s="41" t="s">
        <v>83</v>
      </c>
    </row>
    <row r="37" customFormat="false" ht="15" hidden="false" customHeight="true" outlineLevel="0" collapsed="false">
      <c r="A37" s="37" t="s">
        <v>148</v>
      </c>
      <c r="B37" s="20" t="s">
        <v>149</v>
      </c>
      <c r="C37" s="38" t="n">
        <f aca="false">AHSP!$K$387</f>
        <v>4.5</v>
      </c>
      <c r="D37" s="37" t="s">
        <v>81</v>
      </c>
      <c r="E37" s="39" t="n">
        <f aca="false">AHSP!$G$397</f>
        <v>107399.9</v>
      </c>
      <c r="F37" s="39" t="n">
        <f aca="false">AHSP!$G$391</f>
        <v>65153</v>
      </c>
      <c r="G37" s="39" t="n">
        <f aca="false">AHSP!$G$399</f>
        <v>25882.935</v>
      </c>
      <c r="H37" s="21" t="n">
        <f aca="false">SUM(E37:G37)</f>
        <v>198435.835</v>
      </c>
      <c r="I37" s="21" t="n">
        <f aca="false">C37*E37</f>
        <v>483299.55</v>
      </c>
      <c r="J37" s="21" t="n">
        <f aca="false">C37*F37</f>
        <v>293188.5</v>
      </c>
      <c r="K37" s="21" t="n">
        <f aca="false">C37*G37</f>
        <v>116473.2075</v>
      </c>
      <c r="L37" s="26" t="n">
        <f aca="false">C37*H37</f>
        <v>892961.2575</v>
      </c>
      <c r="M37" s="20"/>
      <c r="N37" s="40" t="s">
        <v>82</v>
      </c>
      <c r="O37" s="37" t="s">
        <v>83</v>
      </c>
    </row>
    <row r="38" customFormat="false" ht="15" hidden="false" customHeight="true" outlineLevel="0" collapsed="false">
      <c r="A38" s="35" t="s">
        <v>150</v>
      </c>
      <c r="B38" s="35" t="s">
        <v>151</v>
      </c>
      <c r="C38" s="35"/>
      <c r="D38" s="35"/>
      <c r="E38" s="35"/>
      <c r="F38" s="35"/>
      <c r="G38" s="35"/>
      <c r="H38" s="35"/>
      <c r="I38" s="36" t="n">
        <f aca="false">SUM(I39:I43)</f>
        <v>17740420</v>
      </c>
      <c r="J38" s="36" t="n">
        <f aca="false">SUM(J39:J43)</f>
        <v>855400</v>
      </c>
      <c r="K38" s="36" t="n">
        <f aca="false">SUM(K39:K43)</f>
        <v>2789373</v>
      </c>
      <c r="L38" s="36" t="n">
        <f aca="false">SUM(L39:L43)</f>
        <v>21385193</v>
      </c>
      <c r="M38" s="35"/>
      <c r="N38" s="35"/>
      <c r="O38" s="35"/>
    </row>
    <row r="39" customFormat="false" ht="15" hidden="false" customHeight="true" outlineLevel="0" collapsed="false">
      <c r="A39" s="37" t="s">
        <v>152</v>
      </c>
      <c r="B39" s="20" t="s">
        <v>153</v>
      </c>
      <c r="C39" s="38" t="n">
        <f aca="false">AHSP!$K$402</f>
        <v>1</v>
      </c>
      <c r="D39" s="37" t="s">
        <v>154</v>
      </c>
      <c r="E39" s="39" t="n">
        <f aca="false">AHSP!$G$406</f>
        <v>2796200</v>
      </c>
      <c r="F39" s="39" t="n">
        <f aca="false">AHSP!$G$403</f>
        <v>0</v>
      </c>
      <c r="G39" s="39" t="n">
        <f aca="false">AHSP!$G$408</f>
        <v>419430</v>
      </c>
      <c r="H39" s="21" t="n">
        <f aca="false">SUM(E39:G39)</f>
        <v>3215630</v>
      </c>
      <c r="I39" s="21" t="n">
        <f aca="false">C39*E39</f>
        <v>2796200</v>
      </c>
      <c r="J39" s="21" t="n">
        <f aca="false">C39*F39</f>
        <v>0</v>
      </c>
      <c r="K39" s="21" t="n">
        <f aca="false">C39*G39</f>
        <v>419430</v>
      </c>
      <c r="L39" s="26" t="n">
        <f aca="false">C39*H39</f>
        <v>3215630</v>
      </c>
      <c r="M39" s="49" t="s">
        <v>126</v>
      </c>
      <c r="N39" s="40" t="s">
        <v>82</v>
      </c>
      <c r="O39" s="37" t="s">
        <v>83</v>
      </c>
    </row>
    <row r="40" customFormat="false" ht="15" hidden="false" customHeight="true" outlineLevel="0" collapsed="false">
      <c r="A40" s="41" t="s">
        <v>155</v>
      </c>
      <c r="B40" s="42" t="s">
        <v>156</v>
      </c>
      <c r="C40" s="43" t="n">
        <f aca="false">AHSP!$K$411</f>
        <v>3</v>
      </c>
      <c r="D40" s="41" t="s">
        <v>154</v>
      </c>
      <c r="E40" s="44" t="n">
        <f aca="false">AHSP!$G$420</f>
        <v>1631200</v>
      </c>
      <c r="F40" s="44" t="n">
        <f aca="false">AHSP!$G$415</f>
        <v>213850</v>
      </c>
      <c r="G40" s="44" t="n">
        <f aca="false">AHSP!$G$422</f>
        <v>276757.5</v>
      </c>
      <c r="H40" s="45" t="n">
        <f aca="false">SUM(E40:G40)</f>
        <v>2121807.5</v>
      </c>
      <c r="I40" s="45" t="n">
        <f aca="false">C40*E40</f>
        <v>4893600</v>
      </c>
      <c r="J40" s="45" t="n">
        <f aca="false">C40*F40</f>
        <v>641550</v>
      </c>
      <c r="K40" s="45" t="n">
        <f aca="false">C40*G40</f>
        <v>830272.5</v>
      </c>
      <c r="L40" s="46" t="n">
        <f aca="false">C40*H40</f>
        <v>6365422.5</v>
      </c>
      <c r="M40" s="42"/>
      <c r="N40" s="48" t="s">
        <v>82</v>
      </c>
      <c r="O40" s="41" t="s">
        <v>83</v>
      </c>
    </row>
    <row r="41" customFormat="false" ht="15" hidden="false" customHeight="true" outlineLevel="0" collapsed="false">
      <c r="A41" s="37" t="s">
        <v>157</v>
      </c>
      <c r="B41" s="20" t="s">
        <v>158</v>
      </c>
      <c r="C41" s="38" t="n">
        <f aca="false">AHSP!$K$425</f>
        <v>1</v>
      </c>
      <c r="D41" s="37" t="s">
        <v>154</v>
      </c>
      <c r="E41" s="39" t="n">
        <f aca="false">AHSP!$G$432</f>
        <v>949900</v>
      </c>
      <c r="F41" s="39" t="n">
        <f aca="false">AHSP!$G$429</f>
        <v>213850</v>
      </c>
      <c r="G41" s="39" t="n">
        <f aca="false">AHSP!$G$434</f>
        <v>174562.5</v>
      </c>
      <c r="H41" s="21" t="n">
        <f aca="false">SUM(E41:G41)</f>
        <v>1338312.5</v>
      </c>
      <c r="I41" s="21" t="n">
        <f aca="false">C41*E41</f>
        <v>949900</v>
      </c>
      <c r="J41" s="21" t="n">
        <f aca="false">C41*F41</f>
        <v>213850</v>
      </c>
      <c r="K41" s="21" t="n">
        <f aca="false">C41*G41</f>
        <v>174562.5</v>
      </c>
      <c r="L41" s="26" t="n">
        <f aca="false">C41*H41</f>
        <v>1338312.5</v>
      </c>
      <c r="M41" s="20"/>
      <c r="N41" s="40" t="s">
        <v>82</v>
      </c>
      <c r="O41" s="37" t="s">
        <v>83</v>
      </c>
    </row>
    <row r="42" customFormat="false" ht="15" hidden="false" customHeight="true" outlineLevel="0" collapsed="false">
      <c r="A42" s="41" t="s">
        <v>159</v>
      </c>
      <c r="B42" s="42" t="s">
        <v>160</v>
      </c>
      <c r="C42" s="43" t="n">
        <f aca="false">AHSP!$K$437</f>
        <v>5.76</v>
      </c>
      <c r="D42" s="41" t="s">
        <v>81</v>
      </c>
      <c r="E42" s="44" t="n">
        <f aca="false">AHSP!$G$441</f>
        <v>1547000</v>
      </c>
      <c r="F42" s="44" t="n">
        <f aca="false">AHSP!$G$438</f>
        <v>0</v>
      </c>
      <c r="G42" s="44" t="n">
        <f aca="false">AHSP!$G$443</f>
        <v>232050</v>
      </c>
      <c r="H42" s="45" t="n">
        <f aca="false">SUM(E42:G42)</f>
        <v>1779050</v>
      </c>
      <c r="I42" s="45" t="n">
        <f aca="false">C42*E42</f>
        <v>8910720</v>
      </c>
      <c r="J42" s="45" t="n">
        <f aca="false">C42*F42</f>
        <v>0</v>
      </c>
      <c r="K42" s="45" t="n">
        <f aca="false">C42*G42</f>
        <v>1336608</v>
      </c>
      <c r="L42" s="46" t="n">
        <f aca="false">C42*H42</f>
        <v>10247328</v>
      </c>
      <c r="M42" s="50" t="s">
        <v>126</v>
      </c>
      <c r="N42" s="48" t="s">
        <v>82</v>
      </c>
      <c r="O42" s="41" t="s">
        <v>83</v>
      </c>
    </row>
    <row r="43" customFormat="false" ht="15" hidden="false" customHeight="true" outlineLevel="0" collapsed="false">
      <c r="A43" s="37" t="s">
        <v>161</v>
      </c>
      <c r="B43" s="20" t="s">
        <v>162</v>
      </c>
      <c r="C43" s="38" t="n">
        <f aca="false">AHSP!$K$446</f>
        <v>0.2</v>
      </c>
      <c r="D43" s="37" t="s">
        <v>81</v>
      </c>
      <c r="E43" s="39" t="n">
        <f aca="false">AHSP!$G$450</f>
        <v>950000</v>
      </c>
      <c r="F43" s="39" t="n">
        <f aca="false">AHSP!$G$447</f>
        <v>0</v>
      </c>
      <c r="G43" s="39" t="n">
        <f aca="false">AHSP!$G$452</f>
        <v>142500</v>
      </c>
      <c r="H43" s="21" t="n">
        <f aca="false">SUM(E43:G43)</f>
        <v>1092500</v>
      </c>
      <c r="I43" s="21" t="n">
        <f aca="false">C43*E43</f>
        <v>190000</v>
      </c>
      <c r="J43" s="21" t="n">
        <f aca="false">C43*F43</f>
        <v>0</v>
      </c>
      <c r="K43" s="21" t="n">
        <f aca="false">C43*G43</f>
        <v>28500</v>
      </c>
      <c r="L43" s="26" t="n">
        <f aca="false">C43*H43</f>
        <v>218500</v>
      </c>
      <c r="M43" s="49" t="s">
        <v>126</v>
      </c>
      <c r="N43" s="47" t="s">
        <v>59</v>
      </c>
      <c r="O43" s="37" t="s">
        <v>83</v>
      </c>
    </row>
    <row r="44" customFormat="false" ht="15" hidden="false" customHeight="true" outlineLevel="0" collapsed="false">
      <c r="A44" s="35" t="s">
        <v>163</v>
      </c>
      <c r="B44" s="35" t="s">
        <v>164</v>
      </c>
      <c r="C44" s="35"/>
      <c r="D44" s="35"/>
      <c r="E44" s="35"/>
      <c r="F44" s="35"/>
      <c r="G44" s="35"/>
      <c r="H44" s="35"/>
      <c r="I44" s="36" t="n">
        <f aca="false">SUM(I45:I46)</f>
        <v>7016852.71531433</v>
      </c>
      <c r="J44" s="36" t="n">
        <f aca="false">SUM(J45:J46)</f>
        <v>3605068.60833776</v>
      </c>
      <c r="K44" s="36" t="n">
        <f aca="false">SUM(K45:K46)</f>
        <v>1593288.19854781</v>
      </c>
      <c r="L44" s="36" t="n">
        <f aca="false">SUM(L45:L46)</f>
        <v>12215209.5221999</v>
      </c>
      <c r="M44" s="35"/>
      <c r="N44" s="35"/>
      <c r="O44" s="35"/>
    </row>
    <row r="45" customFormat="false" ht="15" hidden="false" customHeight="true" outlineLevel="0" collapsed="false">
      <c r="A45" s="37" t="s">
        <v>165</v>
      </c>
      <c r="B45" s="20" t="s">
        <v>166</v>
      </c>
      <c r="C45" s="38" t="n">
        <f aca="false">AHSP!$K$455</f>
        <v>165.923</v>
      </c>
      <c r="D45" s="37" t="s">
        <v>81</v>
      </c>
      <c r="E45" s="39" t="n">
        <f aca="false">AHSP!$G$466</f>
        <v>19580.4</v>
      </c>
      <c r="F45" s="39" t="n">
        <f aca="false">AHSP!$G$461</f>
        <v>14828.82</v>
      </c>
      <c r="G45" s="39" t="n">
        <f aca="false">AHSP!$G$468</f>
        <v>5161.383</v>
      </c>
      <c r="H45" s="21" t="n">
        <f aca="false">SUM(E45:G45)</f>
        <v>39570.603</v>
      </c>
      <c r="I45" s="21" t="n">
        <f aca="false">C45*E45</f>
        <v>3248838.7092</v>
      </c>
      <c r="J45" s="21" t="n">
        <f aca="false">C45*F45</f>
        <v>2460442.30086</v>
      </c>
      <c r="K45" s="21" t="n">
        <f aca="false">C45*G45</f>
        <v>856392.151509</v>
      </c>
      <c r="L45" s="26" t="n">
        <f aca="false">C45*H45</f>
        <v>6565673.161569</v>
      </c>
      <c r="M45" s="20"/>
      <c r="N45" s="40" t="s">
        <v>82</v>
      </c>
      <c r="O45" s="37" t="s">
        <v>83</v>
      </c>
    </row>
    <row r="46" customFormat="false" ht="15" hidden="false" customHeight="true" outlineLevel="0" collapsed="false">
      <c r="A46" s="41" t="s">
        <v>167</v>
      </c>
      <c r="B46" s="42" t="s">
        <v>168</v>
      </c>
      <c r="C46" s="43" t="n">
        <f aca="false">AHSP!$K$471</f>
        <v>77.1893048454133</v>
      </c>
      <c r="D46" s="41" t="s">
        <v>81</v>
      </c>
      <c r="E46" s="44" t="n">
        <f aca="false">AHSP!$G$481</f>
        <v>48815.23436</v>
      </c>
      <c r="F46" s="44" t="n">
        <f aca="false">AHSP!$G$477</f>
        <v>14828.82</v>
      </c>
      <c r="G46" s="44" t="n">
        <f aca="false">AHSP!$G$483</f>
        <v>9546.608154</v>
      </c>
      <c r="H46" s="45" t="n">
        <f aca="false">SUM(E46:G46)</f>
        <v>73190.662514</v>
      </c>
      <c r="I46" s="45" t="n">
        <f aca="false">C46*E46</f>
        <v>3768014.00611433</v>
      </c>
      <c r="J46" s="45" t="n">
        <f aca="false">C46*F46</f>
        <v>1144626.30747776</v>
      </c>
      <c r="K46" s="45" t="n">
        <f aca="false">C46*G46</f>
        <v>736896.047038814</v>
      </c>
      <c r="L46" s="46" t="n">
        <f aca="false">C46*H46</f>
        <v>5649536.36063091</v>
      </c>
      <c r="M46" s="42"/>
      <c r="N46" s="48" t="s">
        <v>82</v>
      </c>
      <c r="O46" s="41" t="s">
        <v>83</v>
      </c>
    </row>
    <row r="47" customFormat="false" ht="15" hidden="false" customHeight="true" outlineLevel="0" collapsed="false">
      <c r="A47" s="35" t="s">
        <v>169</v>
      </c>
      <c r="B47" s="35" t="s">
        <v>170</v>
      </c>
      <c r="C47" s="35"/>
      <c r="D47" s="35"/>
      <c r="E47" s="35"/>
      <c r="F47" s="35"/>
      <c r="G47" s="35"/>
      <c r="H47" s="35"/>
      <c r="I47" s="36" t="n">
        <f aca="false">SUM(I48:I58)</f>
        <v>12350150</v>
      </c>
      <c r="J47" s="36" t="n">
        <f aca="false">SUM(J48:J58)</f>
        <v>2291159.68</v>
      </c>
      <c r="K47" s="36" t="n">
        <f aca="false">SUM(K48:K58)</f>
        <v>2196196.452</v>
      </c>
      <c r="L47" s="36" t="n">
        <f aca="false">SUM(L48:L58)</f>
        <v>16837506.132</v>
      </c>
      <c r="M47" s="35"/>
      <c r="N47" s="35"/>
      <c r="O47" s="35"/>
    </row>
    <row r="48" customFormat="false" ht="15" hidden="false" customHeight="true" outlineLevel="0" collapsed="false">
      <c r="A48" s="37" t="s">
        <v>171</v>
      </c>
      <c r="B48" s="20" t="s">
        <v>172</v>
      </c>
      <c r="C48" s="38" t="n">
        <f aca="false">AHSP!$K$486</f>
        <v>1</v>
      </c>
      <c r="D48" s="37" t="s">
        <v>154</v>
      </c>
      <c r="E48" s="39" t="n">
        <f aca="false">AHSP!$G$494</f>
        <v>2132500</v>
      </c>
      <c r="F48" s="39" t="n">
        <f aca="false">AHSP!$G$490</f>
        <v>249650</v>
      </c>
      <c r="G48" s="39" t="n">
        <f aca="false">AHSP!$G$496</f>
        <v>357322.5</v>
      </c>
      <c r="H48" s="21" t="n">
        <f aca="false">SUM(E48:G48)</f>
        <v>2739472.5</v>
      </c>
      <c r="I48" s="21" t="n">
        <f aca="false">C48*E48</f>
        <v>2132500</v>
      </c>
      <c r="J48" s="21" t="n">
        <f aca="false">C48*F48</f>
        <v>249650</v>
      </c>
      <c r="K48" s="21" t="n">
        <f aca="false">C48*G48</f>
        <v>357322.5</v>
      </c>
      <c r="L48" s="26" t="n">
        <f aca="false">C48*H48</f>
        <v>2739472.5</v>
      </c>
      <c r="M48" s="20"/>
      <c r="N48" s="40" t="s">
        <v>82</v>
      </c>
      <c r="O48" s="37" t="s">
        <v>83</v>
      </c>
    </row>
    <row r="49" customFormat="false" ht="15" hidden="false" customHeight="true" outlineLevel="0" collapsed="false">
      <c r="A49" s="41" t="s">
        <v>173</v>
      </c>
      <c r="B49" s="42" t="s">
        <v>174</v>
      </c>
      <c r="C49" s="43" t="n">
        <f aca="false">AHSP!$K$499</f>
        <v>1</v>
      </c>
      <c r="D49" s="41" t="s">
        <v>175</v>
      </c>
      <c r="E49" s="44" t="n">
        <f aca="false">AHSP!$G$505</f>
        <v>425000</v>
      </c>
      <c r="F49" s="44" t="n">
        <f aca="false">AHSP!$G$502</f>
        <v>55320</v>
      </c>
      <c r="G49" s="44" t="n">
        <f aca="false">AHSP!$G$507</f>
        <v>72048</v>
      </c>
      <c r="H49" s="45" t="n">
        <f aca="false">SUM(E49:G49)</f>
        <v>552368</v>
      </c>
      <c r="I49" s="45" t="n">
        <f aca="false">C49*E49</f>
        <v>425000</v>
      </c>
      <c r="J49" s="45" t="n">
        <f aca="false">C49*F49</f>
        <v>55320</v>
      </c>
      <c r="K49" s="45" t="n">
        <f aca="false">C49*G49</f>
        <v>72048</v>
      </c>
      <c r="L49" s="46" t="n">
        <f aca="false">C49*H49</f>
        <v>552368</v>
      </c>
      <c r="M49" s="42"/>
      <c r="N49" s="48" t="s">
        <v>82</v>
      </c>
      <c r="O49" s="41" t="s">
        <v>176</v>
      </c>
    </row>
    <row r="50" customFormat="false" ht="15" hidden="false" customHeight="true" outlineLevel="0" collapsed="false">
      <c r="A50" s="37" t="s">
        <v>177</v>
      </c>
      <c r="B50" s="20" t="s">
        <v>178</v>
      </c>
      <c r="C50" s="38" t="n">
        <f aca="false">AHSP!$K$510</f>
        <v>1</v>
      </c>
      <c r="D50" s="37" t="s">
        <v>154</v>
      </c>
      <c r="E50" s="39" t="n">
        <f aca="false">AHSP!$G$516</f>
        <v>800000</v>
      </c>
      <c r="F50" s="39" t="n">
        <f aca="false">AHSP!$G$513</f>
        <v>92200</v>
      </c>
      <c r="G50" s="39" t="n">
        <f aca="false">AHSP!$G$518</f>
        <v>133830</v>
      </c>
      <c r="H50" s="21" t="n">
        <f aca="false">SUM(E50:G50)</f>
        <v>1026030</v>
      </c>
      <c r="I50" s="21" t="n">
        <f aca="false">C50*E50</f>
        <v>800000</v>
      </c>
      <c r="J50" s="21" t="n">
        <f aca="false">C50*F50</f>
        <v>92200</v>
      </c>
      <c r="K50" s="21" t="n">
        <f aca="false">C50*G50</f>
        <v>133830</v>
      </c>
      <c r="L50" s="26" t="n">
        <f aca="false">C50*H50</f>
        <v>1026030</v>
      </c>
      <c r="M50" s="20"/>
      <c r="N50" s="40" t="s">
        <v>82</v>
      </c>
      <c r="O50" s="37" t="s">
        <v>83</v>
      </c>
    </row>
    <row r="51" customFormat="false" ht="15" hidden="false" customHeight="true" outlineLevel="0" collapsed="false">
      <c r="A51" s="41" t="s">
        <v>179</v>
      </c>
      <c r="B51" s="42" t="s">
        <v>180</v>
      </c>
      <c r="C51" s="43" t="n">
        <f aca="false">AHSP!$K$521</f>
        <v>2</v>
      </c>
      <c r="D51" s="41" t="s">
        <v>181</v>
      </c>
      <c r="E51" s="44" t="n">
        <f aca="false">AHSP!$G$527</f>
        <v>80000</v>
      </c>
      <c r="F51" s="44" t="n">
        <f aca="false">AHSP!$G$524</f>
        <v>36880</v>
      </c>
      <c r="G51" s="44" t="n">
        <f aca="false">AHSP!$G$529</f>
        <v>17532</v>
      </c>
      <c r="H51" s="45" t="n">
        <f aca="false">SUM(E51:G51)</f>
        <v>134412</v>
      </c>
      <c r="I51" s="45" t="n">
        <f aca="false">C51*E51</f>
        <v>160000</v>
      </c>
      <c r="J51" s="45" t="n">
        <f aca="false">C51*F51</f>
        <v>73760</v>
      </c>
      <c r="K51" s="45" t="n">
        <f aca="false">C51*G51</f>
        <v>35064</v>
      </c>
      <c r="L51" s="46" t="n">
        <f aca="false">C51*H51</f>
        <v>268824</v>
      </c>
      <c r="M51" s="42"/>
      <c r="N51" s="48" t="s">
        <v>82</v>
      </c>
      <c r="O51" s="41" t="s">
        <v>83</v>
      </c>
    </row>
    <row r="52" customFormat="false" ht="15" hidden="false" customHeight="true" outlineLevel="0" collapsed="false">
      <c r="A52" s="37" t="s">
        <v>182</v>
      </c>
      <c r="B52" s="20" t="s">
        <v>183</v>
      </c>
      <c r="C52" s="38" t="n">
        <f aca="false">AHSP!$K$532</f>
        <v>4</v>
      </c>
      <c r="D52" s="37" t="s">
        <v>181</v>
      </c>
      <c r="E52" s="39" t="n">
        <f aca="false">AHSP!$G$538</f>
        <v>110000</v>
      </c>
      <c r="F52" s="39" t="n">
        <f aca="false">AHSP!$G$535</f>
        <v>55320</v>
      </c>
      <c r="G52" s="39" t="n">
        <f aca="false">AHSP!$G$540</f>
        <v>24798</v>
      </c>
      <c r="H52" s="21" t="n">
        <f aca="false">SUM(E52:G52)</f>
        <v>190118</v>
      </c>
      <c r="I52" s="21" t="n">
        <f aca="false">C52*E52</f>
        <v>440000</v>
      </c>
      <c r="J52" s="21" t="n">
        <f aca="false">C52*F52</f>
        <v>221280</v>
      </c>
      <c r="K52" s="21" t="n">
        <f aca="false">C52*G52</f>
        <v>99192</v>
      </c>
      <c r="L52" s="26" t="n">
        <f aca="false">C52*H52</f>
        <v>760472</v>
      </c>
      <c r="M52" s="20"/>
      <c r="N52" s="40" t="s">
        <v>82</v>
      </c>
      <c r="O52" s="37" t="s">
        <v>83</v>
      </c>
    </row>
    <row r="53" customFormat="false" ht="15" hidden="false" customHeight="true" outlineLevel="0" collapsed="false">
      <c r="A53" s="41" t="s">
        <v>184</v>
      </c>
      <c r="B53" s="42" t="s">
        <v>185</v>
      </c>
      <c r="C53" s="43" t="n">
        <f aca="false">AHSP!$K$543</f>
        <v>25</v>
      </c>
      <c r="D53" s="41" t="s">
        <v>131</v>
      </c>
      <c r="E53" s="44" t="n">
        <f aca="false">AHSP!$G$553</f>
        <v>17950</v>
      </c>
      <c r="F53" s="44" t="n">
        <f aca="false">AHSP!$G$549</f>
        <v>17366.34</v>
      </c>
      <c r="G53" s="44" t="n">
        <f aca="false">AHSP!$G$555</f>
        <v>5297.451</v>
      </c>
      <c r="H53" s="45" t="n">
        <f aca="false">SUM(E53:G53)</f>
        <v>40613.791</v>
      </c>
      <c r="I53" s="45" t="n">
        <f aca="false">C53*E53</f>
        <v>448750</v>
      </c>
      <c r="J53" s="45" t="n">
        <f aca="false">C53*F53</f>
        <v>434158.5</v>
      </c>
      <c r="K53" s="45" t="n">
        <f aca="false">C53*G53</f>
        <v>132436.275</v>
      </c>
      <c r="L53" s="46" t="n">
        <f aca="false">C53*H53</f>
        <v>1015344.775</v>
      </c>
      <c r="M53" s="42"/>
      <c r="N53" s="48" t="s">
        <v>82</v>
      </c>
      <c r="O53" s="41" t="s">
        <v>83</v>
      </c>
    </row>
    <row r="54" customFormat="false" ht="15" hidden="false" customHeight="true" outlineLevel="0" collapsed="false">
      <c r="A54" s="37" t="s">
        <v>186</v>
      </c>
      <c r="B54" s="20" t="s">
        <v>187</v>
      </c>
      <c r="C54" s="38" t="n">
        <f aca="false">AHSP!$K$558</f>
        <v>10</v>
      </c>
      <c r="D54" s="37" t="s">
        <v>131</v>
      </c>
      <c r="E54" s="39" t="n">
        <f aca="false">AHSP!$G$568</f>
        <v>51500</v>
      </c>
      <c r="F54" s="39" t="n">
        <f aca="false">AHSP!$G$564</f>
        <v>26049.51</v>
      </c>
      <c r="G54" s="39" t="n">
        <f aca="false">AHSP!$G$570</f>
        <v>11632.4265</v>
      </c>
      <c r="H54" s="21" t="n">
        <f aca="false">SUM(E54:G54)</f>
        <v>89181.9365</v>
      </c>
      <c r="I54" s="21" t="n">
        <f aca="false">C54*E54</f>
        <v>515000</v>
      </c>
      <c r="J54" s="21" t="n">
        <f aca="false">C54*F54</f>
        <v>260495.1</v>
      </c>
      <c r="K54" s="21" t="n">
        <f aca="false">C54*G54</f>
        <v>116324.265</v>
      </c>
      <c r="L54" s="26" t="n">
        <f aca="false">C54*H54</f>
        <v>891819.365</v>
      </c>
      <c r="M54" s="20"/>
      <c r="N54" s="40" t="s">
        <v>82</v>
      </c>
      <c r="O54" s="37" t="s">
        <v>83</v>
      </c>
    </row>
    <row r="55" customFormat="false" ht="15" hidden="false" customHeight="true" outlineLevel="0" collapsed="false">
      <c r="A55" s="41" t="s">
        <v>188</v>
      </c>
      <c r="B55" s="42" t="s">
        <v>189</v>
      </c>
      <c r="C55" s="43" t="n">
        <f aca="false">AHSP!$K$573</f>
        <v>8</v>
      </c>
      <c r="D55" s="41" t="s">
        <v>131</v>
      </c>
      <c r="E55" s="44" t="n">
        <f aca="false">AHSP!$G$583</f>
        <v>70750</v>
      </c>
      <c r="F55" s="44" t="n">
        <f aca="false">AHSP!$G$579</f>
        <v>26049.51</v>
      </c>
      <c r="G55" s="44" t="n">
        <f aca="false">AHSP!$G$585</f>
        <v>14519.9265</v>
      </c>
      <c r="H55" s="45" t="n">
        <f aca="false">SUM(E55:G55)</f>
        <v>111319.4365</v>
      </c>
      <c r="I55" s="45" t="n">
        <f aca="false">C55*E55</f>
        <v>566000</v>
      </c>
      <c r="J55" s="45" t="n">
        <f aca="false">C55*F55</f>
        <v>208396.08</v>
      </c>
      <c r="K55" s="45" t="n">
        <f aca="false">C55*G55</f>
        <v>116159.412</v>
      </c>
      <c r="L55" s="46" t="n">
        <f aca="false">C55*H55</f>
        <v>890555.492</v>
      </c>
      <c r="M55" s="42"/>
      <c r="N55" s="48" t="s">
        <v>82</v>
      </c>
      <c r="O55" s="41" t="s">
        <v>83</v>
      </c>
    </row>
    <row r="56" customFormat="false" ht="15" hidden="false" customHeight="true" outlineLevel="0" collapsed="false">
      <c r="A56" s="37" t="s">
        <v>190</v>
      </c>
      <c r="B56" s="20" t="s">
        <v>191</v>
      </c>
      <c r="C56" s="38" t="n">
        <f aca="false">AHSP!$K$588</f>
        <v>1</v>
      </c>
      <c r="D56" s="37" t="s">
        <v>154</v>
      </c>
      <c r="E56" s="39" t="n">
        <f aca="false">AHSP!$G$595</f>
        <v>2300000</v>
      </c>
      <c r="F56" s="39" t="n">
        <f aca="false">AHSP!$G$592</f>
        <v>564550</v>
      </c>
      <c r="G56" s="39" t="n">
        <f aca="false">AHSP!$G$597</f>
        <v>429682.5</v>
      </c>
      <c r="H56" s="21" t="n">
        <f aca="false">SUM(E56:G56)</f>
        <v>3294232.5</v>
      </c>
      <c r="I56" s="21" t="n">
        <f aca="false">C56*E56</f>
        <v>2300000</v>
      </c>
      <c r="J56" s="21" t="n">
        <f aca="false">C56*F56</f>
        <v>564550</v>
      </c>
      <c r="K56" s="21" t="n">
        <f aca="false">C56*G56</f>
        <v>429682.5</v>
      </c>
      <c r="L56" s="26" t="n">
        <f aca="false">C56*H56</f>
        <v>3294232.5</v>
      </c>
      <c r="M56" s="20"/>
      <c r="N56" s="40" t="s">
        <v>82</v>
      </c>
      <c r="O56" s="37" t="s">
        <v>176</v>
      </c>
    </row>
    <row r="57" customFormat="false" ht="15" hidden="false" customHeight="true" outlineLevel="0" collapsed="false">
      <c r="A57" s="41" t="s">
        <v>192</v>
      </c>
      <c r="B57" s="42" t="s">
        <v>193</v>
      </c>
      <c r="C57" s="43" t="n">
        <f aca="false">AHSP!$K$600</f>
        <v>1</v>
      </c>
      <c r="D57" s="41" t="s">
        <v>154</v>
      </c>
      <c r="E57" s="44" t="n">
        <f aca="false">AHSP!$G$607</f>
        <v>800000</v>
      </c>
      <c r="F57" s="44" t="n">
        <f aca="false">AHSP!$G$604</f>
        <v>131350</v>
      </c>
      <c r="G57" s="44" t="n">
        <f aca="false">AHSP!$G$609</f>
        <v>139702.5</v>
      </c>
      <c r="H57" s="45" t="n">
        <f aca="false">SUM(E57:G57)</f>
        <v>1071052.5</v>
      </c>
      <c r="I57" s="45" t="n">
        <f aca="false">C57*E57</f>
        <v>800000</v>
      </c>
      <c r="J57" s="45" t="n">
        <f aca="false">C57*F57</f>
        <v>131350</v>
      </c>
      <c r="K57" s="45" t="n">
        <f aca="false">C57*G57</f>
        <v>139702.5</v>
      </c>
      <c r="L57" s="46" t="n">
        <f aca="false">C57*H57</f>
        <v>1071052.5</v>
      </c>
      <c r="M57" s="42"/>
      <c r="N57" s="48" t="s">
        <v>82</v>
      </c>
      <c r="O57" s="41" t="s">
        <v>176</v>
      </c>
    </row>
    <row r="58" customFormat="false" ht="15" hidden="false" customHeight="true" outlineLevel="0" collapsed="false">
      <c r="A58" s="37" t="s">
        <v>194</v>
      </c>
      <c r="B58" s="20" t="s">
        <v>195</v>
      </c>
      <c r="C58" s="38" t="n">
        <f aca="false">AHSP!$K$612</f>
        <v>1</v>
      </c>
      <c r="D58" s="37" t="s">
        <v>154</v>
      </c>
      <c r="E58" s="39" t="n">
        <f aca="false">AHSP!$G$616</f>
        <v>3762900</v>
      </c>
      <c r="F58" s="39" t="n">
        <f aca="false">AHSP!$G$613</f>
        <v>0</v>
      </c>
      <c r="G58" s="39" t="n">
        <f aca="false">AHSP!$G$618</f>
        <v>564435</v>
      </c>
      <c r="H58" s="21" t="n">
        <f aca="false">SUM(E58:G58)</f>
        <v>4327335</v>
      </c>
      <c r="I58" s="21" t="n">
        <f aca="false">C58*E58</f>
        <v>3762900</v>
      </c>
      <c r="J58" s="21" t="n">
        <f aca="false">C58*F58</f>
        <v>0</v>
      </c>
      <c r="K58" s="21" t="n">
        <f aca="false">C58*G58</f>
        <v>564435</v>
      </c>
      <c r="L58" s="26" t="n">
        <f aca="false">C58*H58</f>
        <v>4327335</v>
      </c>
      <c r="M58" s="49" t="s">
        <v>126</v>
      </c>
      <c r="N58" s="40" t="s">
        <v>82</v>
      </c>
      <c r="O58" s="37" t="s">
        <v>83</v>
      </c>
    </row>
    <row r="59" customFormat="false" ht="15" hidden="false" customHeight="true" outlineLevel="0" collapsed="false">
      <c r="A59" s="35" t="s">
        <v>196</v>
      </c>
      <c r="B59" s="35" t="s">
        <v>197</v>
      </c>
      <c r="C59" s="35"/>
      <c r="D59" s="35"/>
      <c r="E59" s="35"/>
      <c r="F59" s="35"/>
      <c r="G59" s="35"/>
      <c r="H59" s="35"/>
      <c r="I59" s="36" t="n">
        <f aca="false">SUM(I60:I62)</f>
        <v>6437750</v>
      </c>
      <c r="J59" s="36" t="n">
        <f aca="false">SUM(J60:J62)</f>
        <v>2409920</v>
      </c>
      <c r="K59" s="36" t="n">
        <f aca="false">SUM(K60:K62)</f>
        <v>1327150.5</v>
      </c>
      <c r="L59" s="36" t="n">
        <f aca="false">SUM(L60:L62)</f>
        <v>10174820.5</v>
      </c>
      <c r="M59" s="35"/>
      <c r="N59" s="35"/>
      <c r="O59" s="35"/>
    </row>
    <row r="60" customFormat="false" ht="15" hidden="false" customHeight="true" outlineLevel="0" collapsed="false">
      <c r="A60" s="37" t="s">
        <v>198</v>
      </c>
      <c r="B60" s="20" t="s">
        <v>199</v>
      </c>
      <c r="C60" s="38" t="n">
        <f aca="false">AHSP!$K$621</f>
        <v>10</v>
      </c>
      <c r="D60" s="37" t="s">
        <v>200</v>
      </c>
      <c r="E60" s="39" t="n">
        <f aca="false">AHSP!$G$630</f>
        <v>226400</v>
      </c>
      <c r="F60" s="39" t="n">
        <f aca="false">AHSP!$G$625</f>
        <v>96605</v>
      </c>
      <c r="G60" s="39" t="n">
        <f aca="false">AHSP!$G$632</f>
        <v>48450.75</v>
      </c>
      <c r="H60" s="21" t="n">
        <f aca="false">SUM(E60:G60)</f>
        <v>371455.75</v>
      </c>
      <c r="I60" s="21" t="n">
        <f aca="false">C60*E60</f>
        <v>2264000</v>
      </c>
      <c r="J60" s="21" t="n">
        <f aca="false">C60*F60</f>
        <v>966050</v>
      </c>
      <c r="K60" s="21" t="n">
        <f aca="false">C60*G60</f>
        <v>484507.5</v>
      </c>
      <c r="L60" s="26" t="n">
        <f aca="false">C60*H60</f>
        <v>3714557.5</v>
      </c>
      <c r="M60" s="20"/>
      <c r="N60" s="40" t="s">
        <v>82</v>
      </c>
      <c r="O60" s="37" t="s">
        <v>83</v>
      </c>
    </row>
    <row r="61" customFormat="false" ht="15" hidden="false" customHeight="true" outlineLevel="0" collapsed="false">
      <c r="A61" s="41" t="s">
        <v>201</v>
      </c>
      <c r="B61" s="42" t="s">
        <v>202</v>
      </c>
      <c r="C61" s="43" t="n">
        <f aca="false">AHSP!$K$635</f>
        <v>14</v>
      </c>
      <c r="D61" s="41" t="s">
        <v>200</v>
      </c>
      <c r="E61" s="44" t="n">
        <f aca="false">AHSP!$G$645</f>
        <v>248125</v>
      </c>
      <c r="F61" s="44" t="n">
        <f aca="false">AHSP!$G$639</f>
        <v>96605</v>
      </c>
      <c r="G61" s="44" t="n">
        <f aca="false">AHSP!$G$647</f>
        <v>51709.5</v>
      </c>
      <c r="H61" s="45" t="n">
        <f aca="false">SUM(E61:G61)</f>
        <v>396439.5</v>
      </c>
      <c r="I61" s="45" t="n">
        <f aca="false">C61*E61</f>
        <v>3473750</v>
      </c>
      <c r="J61" s="45" t="n">
        <f aca="false">C61*F61</f>
        <v>1352470</v>
      </c>
      <c r="K61" s="45" t="n">
        <f aca="false">C61*G61</f>
        <v>723933</v>
      </c>
      <c r="L61" s="46" t="n">
        <f aca="false">C61*H61</f>
        <v>5550153</v>
      </c>
      <c r="M61" s="42"/>
      <c r="N61" s="48" t="s">
        <v>82</v>
      </c>
      <c r="O61" s="41" t="s">
        <v>83</v>
      </c>
    </row>
    <row r="62" customFormat="false" ht="15" hidden="false" customHeight="true" outlineLevel="0" collapsed="false">
      <c r="A62" s="37" t="s">
        <v>203</v>
      </c>
      <c r="B62" s="20" t="s">
        <v>204</v>
      </c>
      <c r="C62" s="38" t="n">
        <f aca="false">AHSP!$K$650</f>
        <v>1</v>
      </c>
      <c r="D62" s="37" t="s">
        <v>175</v>
      </c>
      <c r="E62" s="39" t="n">
        <f aca="false">AHSP!$G$656</f>
        <v>700000</v>
      </c>
      <c r="F62" s="39" t="n">
        <f aca="false">AHSP!$G$653</f>
        <v>91400</v>
      </c>
      <c r="G62" s="39" t="n">
        <f aca="false">AHSP!$G$658</f>
        <v>118710</v>
      </c>
      <c r="H62" s="21" t="n">
        <f aca="false">SUM(E62:G62)</f>
        <v>910110</v>
      </c>
      <c r="I62" s="21" t="n">
        <f aca="false">C62*E62</f>
        <v>700000</v>
      </c>
      <c r="J62" s="21" t="n">
        <f aca="false">C62*F62</f>
        <v>91400</v>
      </c>
      <c r="K62" s="21" t="n">
        <f aca="false">C62*G62</f>
        <v>118710</v>
      </c>
      <c r="L62" s="26" t="n">
        <f aca="false">C62*H62</f>
        <v>910110</v>
      </c>
      <c r="M62" s="20"/>
      <c r="N62" s="40" t="s">
        <v>82</v>
      </c>
      <c r="O62" s="37" t="s">
        <v>83</v>
      </c>
    </row>
    <row r="63" customFormat="false" ht="15" hidden="false" customHeight="true" outlineLevel="0" collapsed="false">
      <c r="A63" s="35" t="s">
        <v>205</v>
      </c>
      <c r="B63" s="35" t="s">
        <v>206</v>
      </c>
      <c r="C63" s="35"/>
      <c r="D63" s="35"/>
      <c r="E63" s="35"/>
      <c r="F63" s="35"/>
      <c r="G63" s="35"/>
      <c r="H63" s="35"/>
      <c r="I63" s="36" t="n">
        <f aca="false">SUM(I64:I64)</f>
        <v>3400000</v>
      </c>
      <c r="J63" s="36" t="n">
        <f aca="false">SUM(J64:J64)</f>
        <v>1092700</v>
      </c>
      <c r="K63" s="36" t="n">
        <f aca="false">SUM(K64:K64)</f>
        <v>673905</v>
      </c>
      <c r="L63" s="36" t="n">
        <f aca="false">SUM(L64:L64)</f>
        <v>5166605</v>
      </c>
      <c r="M63" s="35"/>
      <c r="N63" s="35"/>
      <c r="O63" s="35"/>
    </row>
    <row r="64" customFormat="false" ht="15" hidden="false" customHeight="true" outlineLevel="0" collapsed="false">
      <c r="A64" s="37" t="s">
        <v>207</v>
      </c>
      <c r="B64" s="20" t="s">
        <v>208</v>
      </c>
      <c r="C64" s="38" t="n">
        <f aca="false">AHSP!$K$661</f>
        <v>1</v>
      </c>
      <c r="D64" s="37" t="s">
        <v>86</v>
      </c>
      <c r="E64" s="39" t="n">
        <f aca="false">AHSP!$G$669</f>
        <v>3400000</v>
      </c>
      <c r="F64" s="39" t="n">
        <f aca="false">AHSP!$G$665</f>
        <v>1092700</v>
      </c>
      <c r="G64" s="39" t="n">
        <f aca="false">AHSP!$G$671</f>
        <v>673905</v>
      </c>
      <c r="H64" s="21" t="n">
        <f aca="false">SUM(E64:G64)</f>
        <v>5166605</v>
      </c>
      <c r="I64" s="21" t="n">
        <f aca="false">C64*E64</f>
        <v>3400000</v>
      </c>
      <c r="J64" s="21" t="n">
        <f aca="false">C64*F64</f>
        <v>1092700</v>
      </c>
      <c r="K64" s="21" t="n">
        <f aca="false">C64*G64</f>
        <v>673905</v>
      </c>
      <c r="L64" s="26" t="n">
        <f aca="false">C64*H64</f>
        <v>5166605</v>
      </c>
      <c r="M64" s="20"/>
      <c r="N64" s="47" t="s">
        <v>59</v>
      </c>
      <c r="O64" s="37" t="s">
        <v>176</v>
      </c>
    </row>
    <row r="65" customFormat="false" ht="15" hidden="false" customHeight="true" outlineLevel="0" collapsed="false">
      <c r="A65" s="35" t="s">
        <v>209</v>
      </c>
      <c r="B65" s="35" t="s">
        <v>210</v>
      </c>
      <c r="C65" s="35"/>
      <c r="D65" s="35"/>
      <c r="E65" s="35"/>
      <c r="F65" s="35"/>
      <c r="G65" s="35"/>
      <c r="H65" s="35"/>
      <c r="I65" s="36" t="n">
        <f aca="false">SUM(I66:I71)</f>
        <v>25566586.968792</v>
      </c>
      <c r="J65" s="36" t="n">
        <f aca="false">SUM(J66:J71)</f>
        <v>1132157.214</v>
      </c>
      <c r="K65" s="36" t="n">
        <f aca="false">SUM(K66:K71)</f>
        <v>4004811.6274188</v>
      </c>
      <c r="L65" s="36" t="n">
        <f aca="false">SUM(L66:L71)</f>
        <v>30703555.8102108</v>
      </c>
      <c r="M65" s="35"/>
      <c r="N65" s="35"/>
      <c r="O65" s="35"/>
    </row>
    <row r="66" customFormat="false" ht="15" hidden="false" customHeight="true" outlineLevel="0" collapsed="false">
      <c r="A66" s="37" t="s">
        <v>211</v>
      </c>
      <c r="B66" s="20" t="s">
        <v>212</v>
      </c>
      <c r="C66" s="38" t="n">
        <f aca="false">AHSP!$K$674</f>
        <v>15</v>
      </c>
      <c r="D66" s="37" t="s">
        <v>81</v>
      </c>
      <c r="E66" s="39" t="n">
        <f aca="false">AHSP!$G$689</f>
        <v>192118.101666667</v>
      </c>
      <c r="F66" s="39" t="n">
        <f aca="false">AHSP!$G$681</f>
        <v>24928.41</v>
      </c>
      <c r="G66" s="39" t="n">
        <f aca="false">AHSP!$G$691</f>
        <v>32556.97675</v>
      </c>
      <c r="H66" s="21" t="n">
        <f aca="false">SUM(E66:G66)</f>
        <v>249603.488416667</v>
      </c>
      <c r="I66" s="21" t="n">
        <f aca="false">C66*E66</f>
        <v>2881771.525</v>
      </c>
      <c r="J66" s="21" t="n">
        <f aca="false">C66*F66</f>
        <v>373926.15</v>
      </c>
      <c r="K66" s="21" t="n">
        <f aca="false">C66*G66</f>
        <v>488354.65125</v>
      </c>
      <c r="L66" s="26" t="n">
        <f aca="false">C66*H66</f>
        <v>3744052.32625</v>
      </c>
      <c r="M66" s="20"/>
      <c r="N66" s="40" t="s">
        <v>82</v>
      </c>
      <c r="O66" s="37" t="s">
        <v>176</v>
      </c>
    </row>
    <row r="67" customFormat="false" ht="15" hidden="false" customHeight="true" outlineLevel="0" collapsed="false">
      <c r="A67" s="41" t="s">
        <v>213</v>
      </c>
      <c r="B67" s="42" t="s">
        <v>214</v>
      </c>
      <c r="C67" s="43" t="n">
        <f aca="false">AHSP!$K$694</f>
        <v>15</v>
      </c>
      <c r="D67" s="41" t="s">
        <v>81</v>
      </c>
      <c r="E67" s="44" t="n">
        <f aca="false">AHSP!$G$698</f>
        <v>600000</v>
      </c>
      <c r="F67" s="44" t="n">
        <f aca="false">AHSP!$G$695</f>
        <v>0</v>
      </c>
      <c r="G67" s="44" t="n">
        <f aca="false">AHSP!$G$700</f>
        <v>90000</v>
      </c>
      <c r="H67" s="45" t="n">
        <f aca="false">SUM(E67:G67)</f>
        <v>690000</v>
      </c>
      <c r="I67" s="45" t="n">
        <f aca="false">C67*E67</f>
        <v>9000000</v>
      </c>
      <c r="J67" s="45" t="n">
        <f aca="false">C67*F67</f>
        <v>0</v>
      </c>
      <c r="K67" s="45" t="n">
        <f aca="false">C67*G67</f>
        <v>1350000</v>
      </c>
      <c r="L67" s="46" t="n">
        <f aca="false">C67*H67</f>
        <v>10350000</v>
      </c>
      <c r="M67" s="50" t="s">
        <v>126</v>
      </c>
      <c r="N67" s="48" t="s">
        <v>82</v>
      </c>
      <c r="O67" s="41" t="s">
        <v>176</v>
      </c>
    </row>
    <row r="68" customFormat="false" ht="15" hidden="false" customHeight="true" outlineLevel="0" collapsed="false">
      <c r="A68" s="37" t="s">
        <v>215</v>
      </c>
      <c r="B68" s="20" t="s">
        <v>216</v>
      </c>
      <c r="C68" s="38" t="n">
        <f aca="false">AHSP!$K$703</f>
        <v>3.6</v>
      </c>
      <c r="D68" s="37" t="s">
        <v>81</v>
      </c>
      <c r="E68" s="39" t="n">
        <f aca="false">AHSP!$G$718</f>
        <v>249882.06772</v>
      </c>
      <c r="F68" s="39" t="n">
        <f aca="false">AHSP!$G$710</f>
        <v>210619.74</v>
      </c>
      <c r="G68" s="39" t="n">
        <f aca="false">AHSP!$G$720</f>
        <v>69075.271158</v>
      </c>
      <c r="H68" s="21" t="n">
        <f aca="false">SUM(E68:G68)</f>
        <v>529577.078878</v>
      </c>
      <c r="I68" s="21" t="n">
        <f aca="false">C68*E68</f>
        <v>899575.443792</v>
      </c>
      <c r="J68" s="21" t="n">
        <f aca="false">C68*F68</f>
        <v>758231.064</v>
      </c>
      <c r="K68" s="21" t="n">
        <f aca="false">C68*G68</f>
        <v>248670.9761688</v>
      </c>
      <c r="L68" s="26" t="n">
        <f aca="false">C68*H68</f>
        <v>1906477.4839608</v>
      </c>
      <c r="M68" s="20"/>
      <c r="N68" s="40" t="s">
        <v>82</v>
      </c>
      <c r="O68" s="37" t="s">
        <v>176</v>
      </c>
    </row>
    <row r="69" customFormat="false" ht="15" hidden="false" customHeight="true" outlineLevel="0" collapsed="false">
      <c r="A69" s="41" t="s">
        <v>217</v>
      </c>
      <c r="B69" s="42" t="s">
        <v>218</v>
      </c>
      <c r="C69" s="43" t="n">
        <f aca="false">AHSP!$K$723</f>
        <v>3.6</v>
      </c>
      <c r="D69" s="41" t="s">
        <v>81</v>
      </c>
      <c r="E69" s="44" t="n">
        <f aca="false">AHSP!$G$727</f>
        <v>895900</v>
      </c>
      <c r="F69" s="44" t="n">
        <f aca="false">AHSP!$G$724</f>
        <v>0</v>
      </c>
      <c r="G69" s="44" t="n">
        <f aca="false">AHSP!$G$729</f>
        <v>134385</v>
      </c>
      <c r="H69" s="45" t="n">
        <f aca="false">SUM(E69:G69)</f>
        <v>1030285</v>
      </c>
      <c r="I69" s="45" t="n">
        <f aca="false">C69*E69</f>
        <v>3225240</v>
      </c>
      <c r="J69" s="45" t="n">
        <f aca="false">C69*F69</f>
        <v>0</v>
      </c>
      <c r="K69" s="45" t="n">
        <f aca="false">C69*G69</f>
        <v>483786</v>
      </c>
      <c r="L69" s="46" t="n">
        <f aca="false">C69*H69</f>
        <v>3709026</v>
      </c>
      <c r="M69" s="50" t="s">
        <v>126</v>
      </c>
      <c r="N69" s="48" t="s">
        <v>82</v>
      </c>
      <c r="O69" s="41" t="s">
        <v>176</v>
      </c>
    </row>
    <row r="70" customFormat="false" ht="15" hidden="false" customHeight="true" outlineLevel="0" collapsed="false">
      <c r="A70" s="37" t="s">
        <v>219</v>
      </c>
      <c r="B70" s="20" t="s">
        <v>220</v>
      </c>
      <c r="C70" s="38" t="n">
        <f aca="false">AHSP!$K$732</f>
        <v>5.4</v>
      </c>
      <c r="D70" s="37" t="s">
        <v>81</v>
      </c>
      <c r="E70" s="39" t="n">
        <f aca="false">AHSP!$G$736</f>
        <v>1650000</v>
      </c>
      <c r="F70" s="39" t="n">
        <f aca="false">AHSP!$G$733</f>
        <v>0</v>
      </c>
      <c r="G70" s="39" t="n">
        <f aca="false">AHSP!$G$738</f>
        <v>247500</v>
      </c>
      <c r="H70" s="21" t="n">
        <f aca="false">SUM(E70:G70)</f>
        <v>1897500</v>
      </c>
      <c r="I70" s="21" t="n">
        <f aca="false">C70*E70</f>
        <v>8910000</v>
      </c>
      <c r="J70" s="21" t="n">
        <f aca="false">C70*F70</f>
        <v>0</v>
      </c>
      <c r="K70" s="21" t="n">
        <f aca="false">C70*G70</f>
        <v>1336500</v>
      </c>
      <c r="L70" s="26" t="n">
        <f aca="false">C70*H70</f>
        <v>10246500</v>
      </c>
      <c r="M70" s="49" t="s">
        <v>126</v>
      </c>
      <c r="N70" s="47" t="s">
        <v>59</v>
      </c>
      <c r="O70" s="37" t="s">
        <v>176</v>
      </c>
    </row>
    <row r="71" customFormat="false" ht="15" hidden="false" customHeight="true" outlineLevel="0" collapsed="false">
      <c r="A71" s="41" t="s">
        <v>221</v>
      </c>
      <c r="B71" s="42" t="s">
        <v>222</v>
      </c>
      <c r="C71" s="43" t="n">
        <f aca="false">AHSP!$K$741</f>
        <v>1</v>
      </c>
      <c r="D71" s="41" t="s">
        <v>175</v>
      </c>
      <c r="E71" s="44" t="n">
        <f aca="false">AHSP!$G$745</f>
        <v>650000</v>
      </c>
      <c r="F71" s="44" t="n">
        <f aca="false">AHSP!$G$742</f>
        <v>0</v>
      </c>
      <c r="G71" s="44" t="n">
        <f aca="false">AHSP!$G$747</f>
        <v>97500</v>
      </c>
      <c r="H71" s="45" t="n">
        <f aca="false">SUM(E71:G71)</f>
        <v>747500</v>
      </c>
      <c r="I71" s="45" t="n">
        <f aca="false">C71*E71</f>
        <v>650000</v>
      </c>
      <c r="J71" s="45" t="n">
        <f aca="false">C71*F71</f>
        <v>0</v>
      </c>
      <c r="K71" s="45" t="n">
        <f aca="false">C71*G71</f>
        <v>97500</v>
      </c>
      <c r="L71" s="46" t="n">
        <f aca="false">C71*H71</f>
        <v>747500</v>
      </c>
      <c r="M71" s="50" t="s">
        <v>126</v>
      </c>
      <c r="N71" s="47" t="s">
        <v>59</v>
      </c>
      <c r="O71" s="41" t="s">
        <v>176</v>
      </c>
    </row>
    <row r="73" customFormat="false" ht="15" hidden="false" customHeight="true" outlineLevel="0" collapsed="false">
      <c r="A73" s="51"/>
      <c r="B73" s="52" t="s">
        <v>223</v>
      </c>
      <c r="C73" s="51"/>
      <c r="D73" s="51"/>
      <c r="E73" s="51"/>
      <c r="F73" s="51"/>
      <c r="G73" s="51"/>
      <c r="H73" s="51"/>
      <c r="I73" s="53" t="n">
        <f aca="false">I5+I9+I16+I22+I25+I30+I32+I38+I44+I47+I59+I63+I65</f>
        <v>147186722.788781</v>
      </c>
      <c r="J73" s="53" t="n">
        <f aca="false">J5+J9+J16+J22+J25+J30+J32+J38+J44+J47+J59+J63+J65</f>
        <v>55534639.6594483</v>
      </c>
      <c r="K73" s="53" t="n">
        <f aca="false">K5+K9+K16+K22+K25+K30+K32+K38+K44+K47+K59+K63+K65</f>
        <v>30408204.3672345</v>
      </c>
      <c r="L73" s="53" t="n">
        <f aca="false">L5+L9+L16+L22+L25+L30+L32+L38+L44+L47+L59+L63+L65</f>
        <v>233129566.815464</v>
      </c>
      <c r="M73" s="51"/>
      <c r="N73" s="51"/>
      <c r="O73" s="51"/>
    </row>
    <row r="74" customFormat="false" ht="23.25" hidden="false" customHeight="true" outlineLevel="0" collapsed="false">
      <c r="A74" s="24"/>
      <c r="B74" s="20" t="s">
        <v>233</v>
      </c>
      <c r="C74" s="24"/>
      <c r="D74" s="24"/>
      <c r="E74" s="24"/>
      <c r="F74" s="24"/>
      <c r="G74" s="24"/>
      <c r="H74" s="24"/>
      <c r="I74" s="24"/>
      <c r="J74" s="24"/>
      <c r="K74" s="24"/>
      <c r="L74" s="21" t="n">
        <v>0</v>
      </c>
      <c r="M74" s="24"/>
      <c r="N74" s="24"/>
      <c r="O74" s="24"/>
    </row>
    <row r="75" customFormat="false" ht="15" hidden="false" customHeight="true" outlineLevel="0" collapsed="false">
      <c r="A75" s="51"/>
      <c r="B75" s="52" t="s">
        <v>225</v>
      </c>
      <c r="C75" s="51"/>
      <c r="D75" s="51"/>
      <c r="E75" s="51"/>
      <c r="F75" s="51"/>
      <c r="G75" s="51"/>
      <c r="H75" s="51"/>
      <c r="I75" s="51"/>
      <c r="J75" s="51"/>
      <c r="K75" s="51"/>
      <c r="L75" s="53" t="n">
        <f aca="false">L73+L74</f>
        <v>233129566.815464</v>
      </c>
      <c r="M75" s="51"/>
      <c r="N75" s="51"/>
      <c r="O75" s="51"/>
    </row>
    <row r="76" customFormat="false" ht="15" hidden="false" customHeight="true" outlineLevel="0" collapsed="false">
      <c r="A76" s="24"/>
      <c r="B76" s="20" t="s">
        <v>234</v>
      </c>
      <c r="C76" s="24"/>
      <c r="D76" s="24"/>
      <c r="E76" s="24"/>
      <c r="F76" s="24"/>
      <c r="G76" s="24"/>
      <c r="H76" s="24"/>
      <c r="I76" s="24"/>
      <c r="J76" s="24"/>
      <c r="K76" s="24"/>
      <c r="L76" s="21" t="n">
        <f aca="false">L75*Parameter!$B$6</f>
        <v>11656478.3407732</v>
      </c>
      <c r="M76" s="24"/>
      <c r="N76" s="24"/>
      <c r="O76" s="24"/>
    </row>
    <row r="77" customFormat="false" ht="15" hidden="false" customHeight="true" outlineLevel="0" collapsed="false">
      <c r="A77" s="54"/>
      <c r="B77" s="42" t="s">
        <v>235</v>
      </c>
      <c r="C77" s="54"/>
      <c r="D77" s="54"/>
      <c r="E77" s="54"/>
      <c r="F77" s="54"/>
      <c r="G77" s="54"/>
      <c r="H77" s="54"/>
      <c r="I77" s="54"/>
      <c r="J77" s="54"/>
      <c r="K77" s="54"/>
      <c r="L77" s="45" t="n">
        <f aca="false">(L75+L76)*Parameter!$B$9*Parameter!$B$8</f>
        <v>0</v>
      </c>
      <c r="M77" s="54"/>
      <c r="N77" s="54"/>
      <c r="O77" s="54"/>
    </row>
    <row r="78" customFormat="false" ht="21.75" hidden="false" customHeight="true" outlineLevel="0" collapsed="false">
      <c r="A78" s="55"/>
      <c r="B78" s="56" t="s">
        <v>27</v>
      </c>
      <c r="C78" s="55"/>
      <c r="D78" s="55"/>
      <c r="E78" s="55"/>
      <c r="F78" s="55"/>
      <c r="G78" s="55"/>
      <c r="H78" s="55"/>
      <c r="I78" s="55"/>
      <c r="J78" s="55"/>
      <c r="K78" s="55"/>
      <c r="L78" s="57" t="n">
        <f aca="false">L75+L76+L77</f>
        <v>244786045.156237</v>
      </c>
      <c r="M78" s="55"/>
      <c r="N78" s="55"/>
      <c r="O78" s="55"/>
    </row>
    <row r="79" customFormat="false" ht="15" hidden="false" customHeight="true" outlineLevel="0" collapsed="false">
      <c r="A79" s="51"/>
      <c r="B79" s="52" t="s">
        <v>228</v>
      </c>
      <c r="C79" s="51"/>
      <c r="D79" s="51"/>
      <c r="E79" s="51"/>
      <c r="F79" s="51"/>
      <c r="G79" s="51"/>
      <c r="H79" s="51"/>
      <c r="I79" s="51"/>
      <c r="J79" s="51"/>
      <c r="K79" s="51"/>
      <c r="L79" s="53" t="n">
        <f aca="false">ROUND(L78,-5)</f>
        <v>244800000</v>
      </c>
      <c r="M79" s="51"/>
      <c r="N79" s="51"/>
      <c r="O79" s="51"/>
    </row>
  </sheetData>
  <conditionalFormatting sqref="N5:N79">
    <cfRule type="expression" priority="2" aboveAverage="0" equalAverage="0" bottom="0" percent="0" rank="0" text="" dxfId="3">
      <formula>$N5="Estimasi"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1" width="70"/>
  </cols>
  <sheetData>
    <row r="1" customFormat="false" ht="25.5" hidden="false" customHeight="true" outlineLevel="0" collapsed="false">
      <c r="A1" s="2" t="s">
        <v>236</v>
      </c>
    </row>
    <row r="2" customFormat="false" ht="18" hidden="false" customHeight="true" outlineLevel="0" collapsed="false">
      <c r="A2" s="3" t="s">
        <v>237</v>
      </c>
    </row>
    <row r="4" customFormat="false" ht="33.75" hidden="false" customHeight="true" outlineLevel="0" collapsed="false">
      <c r="A4" s="5" t="s">
        <v>238</v>
      </c>
      <c r="B4" s="5" t="s">
        <v>239</v>
      </c>
      <c r="C4" s="5" t="s">
        <v>240</v>
      </c>
      <c r="D4" s="5" t="s">
        <v>241</v>
      </c>
    </row>
    <row r="5" customFormat="false" ht="34.5" hidden="false" customHeight="true" outlineLevel="0" collapsed="false">
      <c r="A5" s="25" t="s">
        <v>242</v>
      </c>
      <c r="B5" s="58" t="n">
        <v>3500000</v>
      </c>
      <c r="C5" s="58" t="n">
        <v>5000000</v>
      </c>
      <c r="D5" s="20" t="s">
        <v>243</v>
      </c>
    </row>
    <row r="6" customFormat="false" ht="34.5" hidden="false" customHeight="true" outlineLevel="0" collapsed="false">
      <c r="A6" s="25" t="s">
        <v>244</v>
      </c>
      <c r="B6" s="58" t="n">
        <v>5000000</v>
      </c>
      <c r="C6" s="58" t="n">
        <v>7000000</v>
      </c>
      <c r="D6" s="20" t="s">
        <v>243</v>
      </c>
    </row>
    <row r="7" customFormat="false" ht="34.5" hidden="false" customHeight="true" outlineLevel="0" collapsed="false">
      <c r="A7" s="25" t="s">
        <v>245</v>
      </c>
      <c r="B7" s="58" t="n">
        <v>7000000</v>
      </c>
      <c r="C7" s="58" t="n">
        <v>10000000</v>
      </c>
      <c r="D7" s="20" t="s">
        <v>243</v>
      </c>
    </row>
    <row r="8" customFormat="false" ht="23.25" hidden="false" customHeight="true" outlineLevel="0" collapsed="false">
      <c r="A8" s="25" t="s">
        <v>246</v>
      </c>
      <c r="B8" s="58" t="n">
        <v>1000000</v>
      </c>
      <c r="C8" s="58" t="n">
        <v>1800000</v>
      </c>
      <c r="D8" s="20" t="s">
        <v>247</v>
      </c>
    </row>
    <row r="9" customFormat="false" ht="15" hidden="false" customHeight="true" outlineLevel="0" collapsed="false">
      <c r="A9" s="59" t="s">
        <v>248</v>
      </c>
    </row>
    <row r="11" customFormat="false" ht="30" hidden="false" customHeight="true" outlineLevel="0" collapsed="false">
      <c r="A11" s="5" t="s">
        <v>249</v>
      </c>
      <c r="B11" s="5" t="s">
        <v>250</v>
      </c>
      <c r="C11" s="5" t="s">
        <v>251</v>
      </c>
      <c r="D11" s="5" t="s">
        <v>252</v>
      </c>
    </row>
    <row r="12" customFormat="false" ht="23.25" hidden="false" customHeight="true" outlineLevel="0" collapsed="false">
      <c r="A12" s="25" t="s">
        <v>253</v>
      </c>
      <c r="B12" s="26" t="n">
        <f aca="false">SUMIF('RAB Borongan'!$O$6:$O$71,"Standar",'RAB Borongan'!$L$6:$L$71)/Volume!$B$23</f>
        <v>5342826.47236815</v>
      </c>
      <c r="C12" s="20" t="str">
        <f aca="false">TEXT(VLOOKUP(Parameter!$B$15,'Kontrol Harga'!$A$5:$C$7,2,FALSE()),"#,##0")&amp;" – "&amp;TEXT(VLOOKUP(Parameter!$B$15,'Kontrol Harga'!$A$5:$C$7,3,FALSE()),"#,##0")</f>
        <v>5,000,000 – 7,000,000</v>
      </c>
      <c r="D12" s="25" t="str">
        <f aca="false">IF(B12&lt;VLOOKUP(Parameter!$B$15,'Kontrol Harga'!$A$5:$C$7,2,FALSE()),"Di bawah rentang ("&amp;TEXT(B12/(VLOOKUP(Parameter!$B$15,'Kontrol Harga'!$A$5:$C$7,2,FALSE()))-1,"0%")&amp;") — periksa apakah ada pekerjaan/spesifikasi yang terlewat",IF(B12&gt;VLOOKUP(Parameter!$B$15,'Kontrol Harga'!$A$5:$C$7,3,FALSE()),"Di atas rentang (+"&amp;TEXT(B12/(VLOOKUP(Parameter!$B$15,'Kontrol Harga'!$A$5:$C$7,3,FALSE()))-1,"0%")&amp;") — periksa spesifikasi atau harga yang terlalu tinggi","Dalam rentang pasar"))</f>
        <v>Dalam rentang pasar</v>
      </c>
    </row>
    <row r="13" customFormat="false" ht="23.25" hidden="false" customHeight="true" outlineLevel="0" collapsed="false">
      <c r="A13" s="25" t="s">
        <v>254</v>
      </c>
      <c r="B13" s="26" t="n">
        <f aca="false">SUMIF('RAB Swakelola'!$M$6:$M$71,"Standar",'RAB Swakelola'!$J$6:$J$71)/Volume!$B$23</f>
        <v>4645936.06292883</v>
      </c>
      <c r="C13" s="20" t="str">
        <f aca="false">TEXT(VLOOKUP(Parameter!$B$15,'Kontrol Harga'!$A$5:$C$7,2,FALSE())/(1+Parameter!$B$4),"#,##0")&amp;" – "&amp;TEXT(VLOOKUP(Parameter!$B$15,'Kontrol Harga'!$A$5:$C$7,3,FALSE())/(1+Parameter!$B$4),"#,##0")</f>
        <v>4,347,826 – 6,086,957</v>
      </c>
      <c r="D13" s="25" t="str">
        <f aca="false">IF(B13&lt;VLOOKUP(Parameter!$B$15,'Kontrol Harga'!$A$5:$C$7,2,FALSE())/(1+Parameter!$B$4),"Di bawah rentang ("&amp;TEXT(B13/(VLOOKUP(Parameter!$B$15,'Kontrol Harga'!$A$5:$C$7,2,FALSE())/(1+Parameter!$B$4))-1,"0%")&amp;") — periksa apakah ada pekerjaan/spesifikasi yang terlewat",IF(B13&gt;VLOOKUP(Parameter!$B$15,'Kontrol Harga'!$A$5:$C$7,3,FALSE())/(1+Parameter!$B$4),"Di atas rentang (+"&amp;TEXT(B13/(VLOOKUP(Parameter!$B$15,'Kontrol Harga'!$A$5:$C$7,3,FALSE())/(1+Parameter!$B$4))-1,"0%")&amp;") — periksa spesifikasi atau harga yang terlalu tinggi","Dalam rentang pasar"))</f>
        <v>Dalam rentang pasar</v>
      </c>
    </row>
    <row r="14" customFormat="false" ht="23.25" hidden="false" customHeight="true" outlineLevel="0" collapsed="false">
      <c r="A14" s="25" t="s">
        <v>255</v>
      </c>
      <c r="B14" s="26" t="n">
        <f aca="false">SUMIF('RAB Borongan'!$O$6:$O$71,"Standar",'RAB Borongan'!$J$6:$J$71)*(1+Parameter!$B$4)/Volume!$B$23</f>
        <v>1678954.07811849</v>
      </c>
      <c r="C14" s="20" t="str">
        <f aca="false">TEXT('Kontrol Harga'!$B$8,"#,##0")&amp;" – "&amp;TEXT('Kontrol Harga'!$C$8,"#,##0")</f>
        <v>1,000,000 – 1,800,000</v>
      </c>
      <c r="D14" s="25" t="str">
        <f aca="false">IF(B14&lt;'Kontrol Harga'!$B$8,"Di bawah rentang ("&amp;TEXT(B14/('Kontrol Harga'!$B$8)-1,"0%")&amp;") — periksa apakah ada pekerjaan/spesifikasi yang terlewat",IF(B14&gt;'Kontrol Harga'!$C$8,"Di atas rentang (+"&amp;TEXT(B14/('Kontrol Harga'!$C$8)-1,"0%")&amp;") — periksa spesifikasi atau harga yang terlalu tinggi","Dalam rentang pasar"))</f>
        <v>Dalam rentang pasar</v>
      </c>
    </row>
    <row r="15" customFormat="false" ht="15" hidden="false" customHeight="true" outlineLevel="0" collapsed="false">
      <c r="A15" s="60" t="str">
        <f aca="false">"Luas bangunan: "&amp;TEXT(Volume!$B$23,"0")&amp;" m² · Paket: "&amp;Parameter!$B$15</f>
        <v>Luas bangunan: 36 m² · Paket: Menengah</v>
      </c>
      <c r="B15" s="24"/>
      <c r="C15" s="24"/>
      <c r="D15" s="24"/>
    </row>
    <row r="17" customFormat="false" ht="30" hidden="false" customHeight="true" outlineLevel="0" collapsed="false">
      <c r="A17" s="5" t="s">
        <v>256</v>
      </c>
      <c r="B17" s="5"/>
      <c r="C17" s="5"/>
      <c r="D17" s="5" t="s">
        <v>257</v>
      </c>
    </row>
    <row r="18" customFormat="false" ht="15" hidden="false" customHeight="true" outlineLevel="0" collapsed="false">
      <c r="A18" s="20" t="s">
        <v>258</v>
      </c>
      <c r="B18" s="24"/>
      <c r="C18" s="24"/>
      <c r="D18" s="20" t="s">
        <v>259</v>
      </c>
    </row>
    <row r="19" customFormat="false" ht="15" hidden="false" customHeight="true" outlineLevel="0" collapsed="false">
      <c r="A19" s="20" t="s">
        <v>260</v>
      </c>
      <c r="B19" s="24"/>
      <c r="C19" s="24"/>
      <c r="D19" s="20" t="s">
        <v>261</v>
      </c>
    </row>
    <row r="20" customFormat="false" ht="15" hidden="false" customHeight="true" outlineLevel="0" collapsed="false">
      <c r="A20" s="20" t="s">
        <v>262</v>
      </c>
      <c r="B20" s="24"/>
      <c r="C20" s="24"/>
      <c r="D20" s="20" t="s">
        <v>263</v>
      </c>
    </row>
    <row r="21" customFormat="false" ht="15" hidden="false" customHeight="true" outlineLevel="0" collapsed="false">
      <c r="A21" s="20" t="s">
        <v>264</v>
      </c>
      <c r="B21" s="24"/>
      <c r="C21" s="24"/>
      <c r="D21" s="20" t="s">
        <v>265</v>
      </c>
    </row>
    <row r="22" customFormat="false" ht="15" hidden="false" customHeight="true" outlineLevel="0" collapsed="false">
      <c r="A22" s="20" t="s">
        <v>266</v>
      </c>
      <c r="B22" s="24"/>
      <c r="C22" s="24"/>
      <c r="D22" s="20" t="s">
        <v>267</v>
      </c>
    </row>
    <row r="23" customFormat="false" ht="15" hidden="false" customHeight="true" outlineLevel="0" collapsed="false">
      <c r="A23" s="20" t="s">
        <v>268</v>
      </c>
      <c r="B23" s="24"/>
      <c r="C23" s="24"/>
      <c r="D23" s="20" t="s">
        <v>269</v>
      </c>
    </row>
    <row r="24" customFormat="false" ht="15" hidden="false" customHeight="true" outlineLevel="0" collapsed="false">
      <c r="A24" s="20" t="s">
        <v>270</v>
      </c>
      <c r="B24" s="24"/>
      <c r="C24" s="24"/>
      <c r="D24" s="20" t="s">
        <v>271</v>
      </c>
    </row>
    <row r="25" customFormat="false" ht="15" hidden="false" customHeight="true" outlineLevel="0" collapsed="false">
      <c r="A25" s="20" t="s">
        <v>272</v>
      </c>
      <c r="B25" s="24"/>
      <c r="C25" s="24"/>
      <c r="D25" s="20" t="s">
        <v>273</v>
      </c>
    </row>
    <row r="26" customFormat="false" ht="15" hidden="false" customHeight="true" outlineLevel="0" collapsed="false">
      <c r="A26" s="20" t="s">
        <v>274</v>
      </c>
      <c r="B26" s="24"/>
      <c r="C26" s="24"/>
      <c r="D26" s="20" t="s">
        <v>275</v>
      </c>
    </row>
    <row r="27" customFormat="false" ht="23.25" hidden="false" customHeight="true" outlineLevel="0" collapsed="false">
      <c r="A27" s="20" t="s">
        <v>276</v>
      </c>
      <c r="B27" s="24"/>
      <c r="C27" s="24"/>
      <c r="D27" s="20"/>
    </row>
    <row r="28" customFormat="false" ht="15" hidden="false" customHeight="true" outlineLevel="0" collapsed="false">
      <c r="A28" s="20" t="s">
        <v>277</v>
      </c>
      <c r="B28" s="24"/>
      <c r="C28" s="24"/>
      <c r="D28" s="20"/>
    </row>
    <row r="30" customFormat="false" ht="15" hidden="false" customHeight="true" outlineLevel="0" collapsed="false">
      <c r="A30" s="59" t="s">
        <v>278</v>
      </c>
    </row>
  </sheetData>
  <conditionalFormatting sqref="D12">
    <cfRule type="expression" priority="2" aboveAverage="0" equalAverage="0" bottom="0" percent="0" rank="0" text="" dxfId="0">
      <formula>LEFT($D12,5)="Dalam"</formula>
    </cfRule>
    <cfRule type="expression" priority="3" aboveAverage="0" equalAverage="0" bottom="0" percent="0" rank="0" text="" dxfId="1">
      <formula>LEFT($D12,8)="Di bawah"</formula>
    </cfRule>
    <cfRule type="expression" priority="4" aboveAverage="0" equalAverage="0" bottom="0" percent="0" rank="0" text="" dxfId="2">
      <formula>LEFT($D12,8)="Di atas "</formula>
    </cfRule>
  </conditionalFormatting>
  <conditionalFormatting sqref="D13">
    <cfRule type="expression" priority="5" aboveAverage="0" equalAverage="0" bottom="0" percent="0" rank="0" text="" dxfId="0">
      <formula>LEFT($D13,5)="Dalam"</formula>
    </cfRule>
    <cfRule type="expression" priority="6" aboveAverage="0" equalAverage="0" bottom="0" percent="0" rank="0" text="" dxfId="1">
      <formula>LEFT($D13,8)="Di bawah"</formula>
    </cfRule>
    <cfRule type="expression" priority="7" aboveAverage="0" equalAverage="0" bottom="0" percent="0" rank="0" text="" dxfId="2">
      <formula>LEFT($D13,8)="Di atas "</formula>
    </cfRule>
  </conditionalFormatting>
  <conditionalFormatting sqref="D14">
    <cfRule type="expression" priority="8" aboveAverage="0" equalAverage="0" bottom="0" percent="0" rank="0" text="" dxfId="0">
      <formula>LEFT($D14,5)="Dalam"</formula>
    </cfRule>
    <cfRule type="expression" priority="9" aboveAverage="0" equalAverage="0" bottom="0" percent="0" rank="0" text="" dxfId="1">
      <formula>LEFT($D14,8)="Di bawah"</formula>
    </cfRule>
    <cfRule type="expression" priority="10" aboveAverage="0" equalAverage="0" bottom="0" percent="0" rank="0" text="" dxfId="2">
      <formula>LEFT($D14,8)="Di atas 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7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1.9"/>
    <col collapsed="false" customWidth="true" hidden="false" outlineLevel="0" max="5" min="5" style="1" width="8.61"/>
    <col collapsed="false" customWidth="true" hidden="false" outlineLevel="0" max="6" min="6" style="1" width="14"/>
    <col collapsed="false" customWidth="true" hidden="false" outlineLevel="0" max="7" min="7" style="1" width="9.7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3.9"/>
    <col collapsed="false" customWidth="true" hidden="false" outlineLevel="0" max="11" min="11" style="1" width="15"/>
    <col collapsed="false" customWidth="true" hidden="false" outlineLevel="0" max="12" min="12" style="1" width="11.5"/>
    <col collapsed="false" customWidth="true" hidden="false" outlineLevel="0" max="13" min="13" style="1" width="34"/>
    <col collapsed="false" customWidth="true" hidden="false" outlineLevel="0" max="14" min="14" style="1" width="13.6"/>
    <col collapsed="false" customWidth="true" hidden="false" outlineLevel="0" max="15" min="15" style="1" width="8.61"/>
    <col collapsed="false" customWidth="true" hidden="false" outlineLevel="0" max="16" min="16" style="1" width="26"/>
  </cols>
  <sheetData>
    <row r="1" customFormat="false" ht="25.5" hidden="false" customHeight="true" outlineLevel="0" collapsed="false">
      <c r="A1" s="2" t="s">
        <v>279</v>
      </c>
    </row>
    <row r="2" customFormat="false" ht="18" hidden="false" customHeight="true" outlineLevel="0" collapsed="false">
      <c r="A2" s="3" t="s">
        <v>280</v>
      </c>
    </row>
    <row r="4" customFormat="false" ht="33.75" hidden="false" customHeight="true" outlineLevel="0" collapsed="false">
      <c r="A4" s="5" t="s">
        <v>281</v>
      </c>
      <c r="B4" s="5" t="s">
        <v>282</v>
      </c>
      <c r="C4" s="5" t="s">
        <v>283</v>
      </c>
      <c r="D4" s="5" t="s">
        <v>284</v>
      </c>
      <c r="E4" s="5" t="s">
        <v>285</v>
      </c>
      <c r="F4" s="5" t="s">
        <v>286</v>
      </c>
      <c r="G4" s="5" t="s">
        <v>287</v>
      </c>
      <c r="H4" s="5" t="s">
        <v>288</v>
      </c>
      <c r="I4" s="5" t="s">
        <v>289</v>
      </c>
      <c r="J4" s="5" t="s">
        <v>290</v>
      </c>
      <c r="K4" s="5" t="s">
        <v>291</v>
      </c>
      <c r="L4" s="5" t="s">
        <v>292</v>
      </c>
      <c r="M4" s="5" t="s">
        <v>293</v>
      </c>
      <c r="N4" s="5" t="s">
        <v>75</v>
      </c>
      <c r="O4" s="5" t="s">
        <v>294</v>
      </c>
      <c r="P4" s="5" t="s">
        <v>295</v>
      </c>
    </row>
    <row r="5" customFormat="false" ht="23.25" hidden="false" customHeight="true" outlineLevel="0" collapsed="false">
      <c r="A5" s="37" t="s">
        <v>296</v>
      </c>
      <c r="B5" s="25" t="s">
        <v>297</v>
      </c>
      <c r="C5" s="20" t="s">
        <v>298</v>
      </c>
      <c r="D5" s="61" t="n">
        <f aca="false">SUMIFS(AHSP!$L$5:$L$3000,AHSP!$C$5:$C$3000,A5,AHSP!$J$5:$J$3000,"Bahan")</f>
        <v>6784.10565784495</v>
      </c>
      <c r="E5" s="37" t="s">
        <v>299</v>
      </c>
      <c r="F5" s="20" t="s">
        <v>300</v>
      </c>
      <c r="G5" s="62" t="n">
        <v>40</v>
      </c>
      <c r="H5" s="63" t="n">
        <f aca="false">MAX(0,ROUNDUP(D5/G5-0.0001,0))</f>
        <v>170</v>
      </c>
      <c r="I5" s="58" t="n">
        <v>63000</v>
      </c>
      <c r="J5" s="64" t="n">
        <f aca="false">I5/G5</f>
        <v>1575</v>
      </c>
      <c r="K5" s="26" t="n">
        <f aca="false">D5*J5</f>
        <v>10684966.4111058</v>
      </c>
      <c r="L5" s="37" t="s">
        <v>301</v>
      </c>
      <c r="M5" s="20" t="s">
        <v>302</v>
      </c>
      <c r="N5" s="40" t="s">
        <v>82</v>
      </c>
      <c r="O5" s="37" t="s">
        <v>303</v>
      </c>
      <c r="P5" s="20" t="str">
        <f aca="false">"atau "&amp;ROUNDUP(D5/50,0)&amp;" zak 50 kg"</f>
        <v>atau 136 zak 50 kg</v>
      </c>
    </row>
    <row r="6" customFormat="false" ht="23.25" hidden="false" customHeight="true" outlineLevel="0" collapsed="false">
      <c r="A6" s="41" t="s">
        <v>304</v>
      </c>
      <c r="B6" s="65" t="s">
        <v>305</v>
      </c>
      <c r="C6" s="42"/>
      <c r="D6" s="66" t="n">
        <f aca="false">SUMIFS(AHSP!$L$5:$L$3000,AHSP!$C$5:$C$3000,A6,AHSP!$J$5:$J$3000,"Bahan")</f>
        <v>13.6773398479189</v>
      </c>
      <c r="E6" s="41" t="s">
        <v>93</v>
      </c>
      <c r="F6" s="42" t="s">
        <v>93</v>
      </c>
      <c r="G6" s="62" t="n">
        <v>1</v>
      </c>
      <c r="H6" s="67" t="n">
        <f aca="false">MAX(0,ROUNDUP(D6/G6-0.0001,0))</f>
        <v>14</v>
      </c>
      <c r="I6" s="58" t="n">
        <v>295200</v>
      </c>
      <c r="J6" s="68" t="n">
        <f aca="false">I6/G6</f>
        <v>295200</v>
      </c>
      <c r="K6" s="46" t="n">
        <f aca="false">D6*J6</f>
        <v>4037550.72310566</v>
      </c>
      <c r="L6" s="41" t="s">
        <v>301</v>
      </c>
      <c r="M6" s="42" t="s">
        <v>306</v>
      </c>
      <c r="N6" s="48" t="s">
        <v>82</v>
      </c>
      <c r="O6" s="41" t="s">
        <v>307</v>
      </c>
      <c r="P6" s="42" t="str">
        <f aca="false">"≈ "&amp;ROUND(D6/6.75,1)&amp;" truk colt diesel"</f>
        <v>≈ 2 truk colt diesel</v>
      </c>
    </row>
    <row r="7" customFormat="false" ht="15" hidden="false" customHeight="true" outlineLevel="0" collapsed="false">
      <c r="A7" s="37" t="s">
        <v>308</v>
      </c>
      <c r="B7" s="25" t="s">
        <v>309</v>
      </c>
      <c r="C7" s="20"/>
      <c r="D7" s="61" t="n">
        <f aca="false">SUMIFS(AHSP!$L$5:$L$3000,AHSP!$C$5:$C$3000,A7,AHSP!$J$5:$J$3000,"Bahan")</f>
        <v>4.00630177073597</v>
      </c>
      <c r="E7" s="37" t="s">
        <v>93</v>
      </c>
      <c r="F7" s="20" t="s">
        <v>93</v>
      </c>
      <c r="G7" s="62" t="n">
        <v>1</v>
      </c>
      <c r="H7" s="63" t="n">
        <f aca="false">MAX(0,ROUNDUP(D7/G7-0.0001,0))</f>
        <v>5</v>
      </c>
      <c r="I7" s="58" t="n">
        <v>379000</v>
      </c>
      <c r="J7" s="64" t="n">
        <f aca="false">I7/G7</f>
        <v>379000</v>
      </c>
      <c r="K7" s="26" t="n">
        <f aca="false">D7*J7</f>
        <v>1518388.37110893</v>
      </c>
      <c r="L7" s="37" t="s">
        <v>301</v>
      </c>
      <c r="M7" s="20" t="s">
        <v>310</v>
      </c>
      <c r="N7" s="40" t="s">
        <v>82</v>
      </c>
      <c r="O7" s="37" t="s">
        <v>307</v>
      </c>
      <c r="P7" s="20"/>
    </row>
    <row r="8" customFormat="false" ht="15" hidden="false" customHeight="true" outlineLevel="0" collapsed="false">
      <c r="A8" s="41" t="s">
        <v>311</v>
      </c>
      <c r="B8" s="65" t="s">
        <v>312</v>
      </c>
      <c r="C8" s="42"/>
      <c r="D8" s="66" t="n">
        <f aca="false">SUMIFS(AHSP!$L$5:$L$3000,AHSP!$C$5:$C$3000,A8,AHSP!$J$5:$J$3000,"Bahan")</f>
        <v>5.63680479344804</v>
      </c>
      <c r="E8" s="41" t="s">
        <v>93</v>
      </c>
      <c r="F8" s="42" t="s">
        <v>93</v>
      </c>
      <c r="G8" s="62" t="n">
        <v>1</v>
      </c>
      <c r="H8" s="67" t="n">
        <f aca="false">MAX(0,ROUNDUP(D8/G8-0.0001,0))</f>
        <v>6</v>
      </c>
      <c r="I8" s="58" t="n">
        <v>385900</v>
      </c>
      <c r="J8" s="68" t="n">
        <f aca="false">I8/G8</f>
        <v>385900</v>
      </c>
      <c r="K8" s="46" t="n">
        <f aca="false">D8*J8</f>
        <v>2175242.9697916</v>
      </c>
      <c r="L8" s="41" t="s">
        <v>301</v>
      </c>
      <c r="M8" s="42" t="s">
        <v>313</v>
      </c>
      <c r="N8" s="48" t="s">
        <v>82</v>
      </c>
      <c r="O8" s="41" t="s">
        <v>307</v>
      </c>
      <c r="P8" s="42"/>
    </row>
    <row r="9" customFormat="false" ht="23.25" hidden="false" customHeight="true" outlineLevel="0" collapsed="false">
      <c r="A9" s="37" t="s">
        <v>314</v>
      </c>
      <c r="B9" s="25" t="s">
        <v>315</v>
      </c>
      <c r="C9" s="20"/>
      <c r="D9" s="61" t="n">
        <f aca="false">SUMIFS(AHSP!$L$5:$L$3000,AHSP!$C$5:$C$3000,A9,AHSP!$J$5:$J$3000,"Bahan")</f>
        <v>7.473</v>
      </c>
      <c r="E9" s="37" t="s">
        <v>93</v>
      </c>
      <c r="F9" s="20" t="s">
        <v>93</v>
      </c>
      <c r="G9" s="62" t="n">
        <v>1</v>
      </c>
      <c r="H9" s="63" t="n">
        <f aca="false">MAX(0,ROUNDUP(D9/G9-0.0001,0))</f>
        <v>8</v>
      </c>
      <c r="I9" s="58" t="n">
        <v>209000</v>
      </c>
      <c r="J9" s="64" t="n">
        <f aca="false">I9/G9</f>
        <v>209000</v>
      </c>
      <c r="K9" s="26" t="n">
        <f aca="false">D9*J9</f>
        <v>1561857</v>
      </c>
      <c r="L9" s="37" t="s">
        <v>301</v>
      </c>
      <c r="M9" s="20" t="s">
        <v>316</v>
      </c>
      <c r="N9" s="40" t="s">
        <v>82</v>
      </c>
      <c r="O9" s="37" t="s">
        <v>307</v>
      </c>
      <c r="P9" s="20"/>
    </row>
    <row r="10" customFormat="false" ht="23.25" hidden="false" customHeight="true" outlineLevel="0" collapsed="false">
      <c r="A10" s="41" t="s">
        <v>317</v>
      </c>
      <c r="B10" s="65" t="s">
        <v>318</v>
      </c>
      <c r="C10" s="42"/>
      <c r="D10" s="66" t="n">
        <f aca="false">SUMIFS(AHSP!$L$5:$L$3000,AHSP!$C$5:$C$3000,A10,AHSP!$J$5:$J$3000,"Bahan")</f>
        <v>12.42</v>
      </c>
      <c r="E10" s="41" t="s">
        <v>93</v>
      </c>
      <c r="F10" s="42" t="s">
        <v>93</v>
      </c>
      <c r="G10" s="62" t="n">
        <v>1</v>
      </c>
      <c r="H10" s="67" t="n">
        <f aca="false">MAX(0,ROUNDUP(D10/G10-0.0001,0))</f>
        <v>13</v>
      </c>
      <c r="I10" s="58" t="n">
        <v>343200</v>
      </c>
      <c r="J10" s="68" t="n">
        <f aca="false">I10/G10</f>
        <v>343200</v>
      </c>
      <c r="K10" s="46" t="n">
        <f aca="false">D10*J10</f>
        <v>4262544</v>
      </c>
      <c r="L10" s="41" t="s">
        <v>301</v>
      </c>
      <c r="M10" s="42" t="s">
        <v>316</v>
      </c>
      <c r="N10" s="48" t="s">
        <v>82</v>
      </c>
      <c r="O10" s="41" t="s">
        <v>307</v>
      </c>
      <c r="P10" s="42"/>
    </row>
    <row r="11" customFormat="false" ht="23.25" hidden="false" customHeight="true" outlineLevel="0" collapsed="false">
      <c r="A11" s="37" t="s">
        <v>319</v>
      </c>
      <c r="B11" s="25" t="s">
        <v>320</v>
      </c>
      <c r="C11" s="20" t="s">
        <v>321</v>
      </c>
      <c r="D11" s="61" t="n">
        <f aca="false">SUMIFS(AHSP!$L$5:$L$3000,AHSP!$C$5:$C$3000,A11,AHSP!$J$5:$J$3000,"Bahan")</f>
        <v>291.61044</v>
      </c>
      <c r="E11" s="37" t="s">
        <v>299</v>
      </c>
      <c r="F11" s="20" t="s">
        <v>322</v>
      </c>
      <c r="G11" s="62" t="n">
        <v>7.4</v>
      </c>
      <c r="H11" s="63" t="n">
        <f aca="false">MAX(0,ROUNDUP(D11/G11-0.0001,0))</f>
        <v>40</v>
      </c>
      <c r="I11" s="58" t="n">
        <v>85500</v>
      </c>
      <c r="J11" s="64" t="n">
        <f aca="false">I11/G11</f>
        <v>11554.0540540541</v>
      </c>
      <c r="K11" s="26" t="n">
        <f aca="false">D11*J11</f>
        <v>3369282.78648649</v>
      </c>
      <c r="L11" s="37" t="s">
        <v>301</v>
      </c>
      <c r="M11" s="20" t="s">
        <v>323</v>
      </c>
      <c r="N11" s="40" t="s">
        <v>82</v>
      </c>
      <c r="O11" s="37" t="s">
        <v>303</v>
      </c>
      <c r="P11" s="20"/>
    </row>
    <row r="12" customFormat="false" ht="23.25" hidden="false" customHeight="true" outlineLevel="0" collapsed="false">
      <c r="A12" s="41" t="s">
        <v>324</v>
      </c>
      <c r="B12" s="65" t="s">
        <v>325</v>
      </c>
      <c r="C12" s="42" t="s">
        <v>321</v>
      </c>
      <c r="D12" s="66" t="n">
        <f aca="false">SUMIFS(AHSP!$L$5:$L$3000,AHSP!$C$5:$C$3000,A12,AHSP!$J$5:$J$3000,"Bahan")</f>
        <v>108.887979373364</v>
      </c>
      <c r="E12" s="41" t="s">
        <v>299</v>
      </c>
      <c r="F12" s="42" t="s">
        <v>322</v>
      </c>
      <c r="G12" s="62" t="n">
        <v>4.74</v>
      </c>
      <c r="H12" s="67" t="n">
        <f aca="false">MAX(0,ROUNDUP(D12/G12-0.0001,0))</f>
        <v>23</v>
      </c>
      <c r="I12" s="58" t="n">
        <v>53800</v>
      </c>
      <c r="J12" s="68" t="n">
        <f aca="false">I12/G12</f>
        <v>11350.2109704641</v>
      </c>
      <c r="K12" s="46" t="n">
        <f aca="false">D12*J12</f>
        <v>1235901.53803522</v>
      </c>
      <c r="L12" s="41" t="s">
        <v>301</v>
      </c>
      <c r="M12" s="42" t="s">
        <v>326</v>
      </c>
      <c r="N12" s="48" t="s">
        <v>82</v>
      </c>
      <c r="O12" s="41" t="s">
        <v>303</v>
      </c>
      <c r="P12" s="42"/>
    </row>
    <row r="13" customFormat="false" ht="15" hidden="false" customHeight="true" outlineLevel="0" collapsed="false">
      <c r="A13" s="37" t="s">
        <v>327</v>
      </c>
      <c r="B13" s="25" t="s">
        <v>328</v>
      </c>
      <c r="C13" s="20" t="s">
        <v>329</v>
      </c>
      <c r="D13" s="61" t="n">
        <f aca="false">SUMIFS(AHSP!$L$5:$L$3000,AHSP!$C$5:$C$3000,A13,AHSP!$J$5:$J$3000,"Bahan")</f>
        <v>109.540384359574</v>
      </c>
      <c r="E13" s="37" t="s">
        <v>299</v>
      </c>
      <c r="F13" s="20" t="s">
        <v>322</v>
      </c>
      <c r="G13" s="62" t="n">
        <v>2.66</v>
      </c>
      <c r="H13" s="63" t="n">
        <f aca="false">MAX(0,ROUNDUP(D13/G13-0.0001,0))</f>
        <v>42</v>
      </c>
      <c r="I13" s="58" t="n">
        <v>30100</v>
      </c>
      <c r="J13" s="64" t="n">
        <f aca="false">I13/G13</f>
        <v>11315.7894736842</v>
      </c>
      <c r="K13" s="26" t="n">
        <f aca="false">D13*J13</f>
        <v>1239535.92827939</v>
      </c>
      <c r="L13" s="37" t="s">
        <v>301</v>
      </c>
      <c r="M13" s="20" t="s">
        <v>330</v>
      </c>
      <c r="N13" s="40" t="s">
        <v>82</v>
      </c>
      <c r="O13" s="37" t="s">
        <v>303</v>
      </c>
      <c r="P13" s="20"/>
    </row>
    <row r="14" customFormat="false" ht="15" hidden="false" customHeight="true" outlineLevel="0" collapsed="false">
      <c r="A14" s="41" t="s">
        <v>331</v>
      </c>
      <c r="B14" s="65" t="s">
        <v>332</v>
      </c>
      <c r="C14" s="42"/>
      <c r="D14" s="66" t="n">
        <f aca="false">SUMIFS(AHSP!$L$5:$L$3000,AHSP!$C$5:$C$3000,A14,AHSP!$J$5:$J$3000,"Bahan")</f>
        <v>6.96632459635824</v>
      </c>
      <c r="E14" s="41" t="s">
        <v>299</v>
      </c>
      <c r="F14" s="42" t="s">
        <v>299</v>
      </c>
      <c r="G14" s="62" t="n">
        <v>1</v>
      </c>
      <c r="H14" s="67" t="n">
        <f aca="false">MAX(0,ROUNDUP(D14/G14-0.0001,0))</f>
        <v>7</v>
      </c>
      <c r="I14" s="58" t="n">
        <v>26200</v>
      </c>
      <c r="J14" s="68" t="n">
        <f aca="false">I14/G14</f>
        <v>26200</v>
      </c>
      <c r="K14" s="46" t="n">
        <f aca="false">D14*J14</f>
        <v>182517.704424586</v>
      </c>
      <c r="L14" s="41" t="s">
        <v>301</v>
      </c>
      <c r="M14" s="42" t="s">
        <v>310</v>
      </c>
      <c r="N14" s="48" t="s">
        <v>82</v>
      </c>
      <c r="O14" s="41" t="s">
        <v>303</v>
      </c>
      <c r="P14" s="42"/>
    </row>
    <row r="15" customFormat="false" ht="23.25" hidden="false" customHeight="true" outlineLevel="0" collapsed="false">
      <c r="A15" s="37" t="s">
        <v>333</v>
      </c>
      <c r="B15" s="25" t="s">
        <v>334</v>
      </c>
      <c r="C15" s="20" t="s">
        <v>335</v>
      </c>
      <c r="D15" s="61" t="n">
        <f aca="false">SUMIFS(AHSP!$L$5:$L$3000,AHSP!$C$5:$C$3000,A15,AHSP!$J$5:$J$3000,"Bahan")</f>
        <v>3.76491400474291</v>
      </c>
      <c r="E15" s="37" t="s">
        <v>336</v>
      </c>
      <c r="F15" s="20" t="s">
        <v>336</v>
      </c>
      <c r="G15" s="62" t="n">
        <v>1</v>
      </c>
      <c r="H15" s="63" t="n">
        <f aca="false">MAX(0,ROUNDUP(D15/G15-0.0001,0))</f>
        <v>4</v>
      </c>
      <c r="I15" s="58" t="n">
        <v>214200</v>
      </c>
      <c r="J15" s="64" t="n">
        <f aca="false">I15/G15</f>
        <v>214200</v>
      </c>
      <c r="K15" s="26" t="n">
        <f aca="false">D15*J15</f>
        <v>806444.579815932</v>
      </c>
      <c r="L15" s="37" t="s">
        <v>301</v>
      </c>
      <c r="M15" s="20" t="s">
        <v>310</v>
      </c>
      <c r="N15" s="40" t="s">
        <v>82</v>
      </c>
      <c r="O15" s="37" t="s">
        <v>303</v>
      </c>
      <c r="P15" s="20"/>
    </row>
    <row r="16" customFormat="false" ht="15" hidden="false" customHeight="true" outlineLevel="0" collapsed="false">
      <c r="A16" s="41" t="s">
        <v>337</v>
      </c>
      <c r="B16" s="65" t="s">
        <v>338</v>
      </c>
      <c r="C16" s="42" t="s">
        <v>339</v>
      </c>
      <c r="D16" s="66" t="n">
        <f aca="false">SUMIFS(AHSP!$L$5:$L$3000,AHSP!$C$5:$C$3000,A16,AHSP!$J$5:$J$3000,"Bahan")</f>
        <v>42.2592421128567</v>
      </c>
      <c r="E16" s="41" t="s">
        <v>322</v>
      </c>
      <c r="F16" s="42" t="s">
        <v>322</v>
      </c>
      <c r="G16" s="62" t="n">
        <v>1</v>
      </c>
      <c r="H16" s="67" t="n">
        <f aca="false">MAX(0,ROUNDUP(D16/G16-0.0001,0))</f>
        <v>43</v>
      </c>
      <c r="I16" s="58" t="n">
        <v>38000</v>
      </c>
      <c r="J16" s="68" t="n">
        <f aca="false">I16/G16</f>
        <v>38000</v>
      </c>
      <c r="K16" s="46" t="n">
        <f aca="false">D16*J16</f>
        <v>1605851.20028855</v>
      </c>
      <c r="L16" s="41" t="s">
        <v>301</v>
      </c>
      <c r="M16" s="42" t="s">
        <v>340</v>
      </c>
      <c r="N16" s="47" t="s">
        <v>59</v>
      </c>
      <c r="O16" s="41" t="s">
        <v>303</v>
      </c>
      <c r="P16" s="42"/>
    </row>
    <row r="17" customFormat="false" ht="15" hidden="false" customHeight="true" outlineLevel="0" collapsed="false">
      <c r="A17" s="37" t="s">
        <v>341</v>
      </c>
      <c r="B17" s="25" t="s">
        <v>342</v>
      </c>
      <c r="C17" s="20"/>
      <c r="D17" s="61" t="n">
        <f aca="false">SUMIFS(AHSP!$L$5:$L$3000,AHSP!$C$5:$C$3000,A17,AHSP!$J$5:$J$3000,"Bahan")</f>
        <v>4.30275886256333</v>
      </c>
      <c r="E17" s="37" t="s">
        <v>299</v>
      </c>
      <c r="F17" s="20" t="s">
        <v>299</v>
      </c>
      <c r="G17" s="62" t="n">
        <v>1</v>
      </c>
      <c r="H17" s="63" t="n">
        <f aca="false">MAX(0,ROUNDUP(D17/G17-0.0001,0))</f>
        <v>5</v>
      </c>
      <c r="I17" s="58" t="n">
        <v>24200</v>
      </c>
      <c r="J17" s="64" t="n">
        <f aca="false">I17/G17</f>
        <v>24200</v>
      </c>
      <c r="K17" s="26" t="n">
        <f aca="false">D17*J17</f>
        <v>104126.764474033</v>
      </c>
      <c r="L17" s="37" t="s">
        <v>301</v>
      </c>
      <c r="M17" s="20" t="s">
        <v>310</v>
      </c>
      <c r="N17" s="40" t="s">
        <v>82</v>
      </c>
      <c r="O17" s="37" t="s">
        <v>303</v>
      </c>
      <c r="P17" s="20"/>
    </row>
    <row r="18" customFormat="false" ht="23.25" hidden="false" customHeight="true" outlineLevel="0" collapsed="false">
      <c r="A18" s="41" t="s">
        <v>343</v>
      </c>
      <c r="B18" s="65" t="s">
        <v>344</v>
      </c>
      <c r="C18" s="42"/>
      <c r="D18" s="66" t="n">
        <f aca="false">SUMIFS(AHSP!$L$5:$L$3000,AHSP!$C$5:$C$3000,A18,AHSP!$J$5:$J$3000,"Bahan")</f>
        <v>2.15137943128167</v>
      </c>
      <c r="E18" s="41" t="s">
        <v>345</v>
      </c>
      <c r="F18" s="42" t="s">
        <v>345</v>
      </c>
      <c r="G18" s="62" t="n">
        <v>1</v>
      </c>
      <c r="H18" s="67" t="n">
        <f aca="false">MAX(0,ROUNDUP(D18/G18-0.0001,0))</f>
        <v>3</v>
      </c>
      <c r="I18" s="58" t="n">
        <v>26400</v>
      </c>
      <c r="J18" s="68" t="n">
        <f aca="false">I18/G18</f>
        <v>26400</v>
      </c>
      <c r="K18" s="46" t="n">
        <f aca="false">D18*J18</f>
        <v>56796.416985836</v>
      </c>
      <c r="L18" s="41" t="s">
        <v>301</v>
      </c>
      <c r="M18" s="42" t="s">
        <v>316</v>
      </c>
      <c r="N18" s="48" t="s">
        <v>82</v>
      </c>
      <c r="O18" s="41" t="s">
        <v>303</v>
      </c>
      <c r="P18" s="42"/>
    </row>
    <row r="19" customFormat="false" ht="23.25" hidden="false" customHeight="true" outlineLevel="0" collapsed="false">
      <c r="A19" s="37" t="s">
        <v>346</v>
      </c>
      <c r="B19" s="25" t="s">
        <v>347</v>
      </c>
      <c r="C19" s="20" t="s">
        <v>348</v>
      </c>
      <c r="D19" s="61" t="n">
        <f aca="false">SUMIFS(AHSP!$L$5:$L$3000,AHSP!$C$5:$C$3000,A19,AHSP!$J$5:$J$3000,"Bahan")</f>
        <v>988.32783432961</v>
      </c>
      <c r="E19" s="37" t="s">
        <v>181</v>
      </c>
      <c r="F19" s="20" t="s">
        <v>181</v>
      </c>
      <c r="G19" s="62" t="n">
        <v>1</v>
      </c>
      <c r="H19" s="63" t="n">
        <f aca="false">MAX(0,ROUNDUP(D19/G19-0.0001,0))</f>
        <v>989</v>
      </c>
      <c r="I19" s="58" t="n">
        <v>9820</v>
      </c>
      <c r="J19" s="64" t="n">
        <f aca="false">I19/G19</f>
        <v>9820</v>
      </c>
      <c r="K19" s="26" t="n">
        <f aca="false">D19*J19</f>
        <v>9705379.33311677</v>
      </c>
      <c r="L19" s="37" t="s">
        <v>301</v>
      </c>
      <c r="M19" s="20" t="s">
        <v>349</v>
      </c>
      <c r="N19" s="40" t="s">
        <v>82</v>
      </c>
      <c r="O19" s="37" t="s">
        <v>303</v>
      </c>
      <c r="P19" s="20" t="str">
        <f aca="false">"≈ "&amp;ROUND(D19/83,1)&amp;" m³"</f>
        <v>≈ 11.9 m³</v>
      </c>
    </row>
    <row r="20" customFormat="false" ht="15" hidden="false" customHeight="true" outlineLevel="0" collapsed="false">
      <c r="A20" s="41" t="s">
        <v>350</v>
      </c>
      <c r="B20" s="65" t="s">
        <v>351</v>
      </c>
      <c r="C20" s="42"/>
      <c r="D20" s="66" t="n">
        <f aca="false">SUMIFS(AHSP!$L$5:$L$3000,AHSP!$C$5:$C$3000,A20,AHSP!$J$5:$J$3000,"Bahan")</f>
        <v>867.05565065763</v>
      </c>
      <c r="E20" s="41" t="s">
        <v>299</v>
      </c>
      <c r="F20" s="42" t="s">
        <v>300</v>
      </c>
      <c r="G20" s="62" t="n">
        <v>40</v>
      </c>
      <c r="H20" s="67" t="n">
        <f aca="false">MAX(0,ROUNDUP(D20/G20-0.0001,0))</f>
        <v>22</v>
      </c>
      <c r="I20" s="58" t="n">
        <v>87000</v>
      </c>
      <c r="J20" s="68" t="n">
        <f aca="false">I20/G20</f>
        <v>2175</v>
      </c>
      <c r="K20" s="46" t="n">
        <f aca="false">D20*J20</f>
        <v>1885846.04018034</v>
      </c>
      <c r="L20" s="41" t="s">
        <v>301</v>
      </c>
      <c r="M20" s="42" t="s">
        <v>352</v>
      </c>
      <c r="N20" s="48" t="s">
        <v>82</v>
      </c>
      <c r="O20" s="41" t="s">
        <v>303</v>
      </c>
      <c r="P20" s="42"/>
    </row>
    <row r="21" customFormat="false" ht="15" hidden="false" customHeight="true" outlineLevel="0" collapsed="false">
      <c r="A21" s="37" t="s">
        <v>353</v>
      </c>
      <c r="B21" s="25" t="s">
        <v>128</v>
      </c>
      <c r="C21" s="20" t="s">
        <v>354</v>
      </c>
      <c r="D21" s="61" t="n">
        <f aca="false">SUMIFS(AHSP!$L$5:$L$3000,AHSP!$C$5:$C$3000,A21,AHSP!$J$5:$J$3000,"Bahan")</f>
        <v>616.554661868678</v>
      </c>
      <c r="E21" s="37" t="s">
        <v>181</v>
      </c>
      <c r="F21" s="20" t="s">
        <v>181</v>
      </c>
      <c r="G21" s="62" t="n">
        <v>1</v>
      </c>
      <c r="H21" s="63" t="n">
        <f aca="false">MAX(0,ROUNDUP(D21/G21-0.0001,0))</f>
        <v>617</v>
      </c>
      <c r="I21" s="58" t="n">
        <v>12450</v>
      </c>
      <c r="J21" s="64" t="n">
        <f aca="false">I21/G21</f>
        <v>12450</v>
      </c>
      <c r="K21" s="26" t="n">
        <f aca="false">D21*J21</f>
        <v>7676105.54026504</v>
      </c>
      <c r="L21" s="37" t="s">
        <v>301</v>
      </c>
      <c r="M21" s="20" t="s">
        <v>313</v>
      </c>
      <c r="N21" s="40" t="s">
        <v>82</v>
      </c>
      <c r="O21" s="37" t="s">
        <v>303</v>
      </c>
      <c r="P21" s="20"/>
    </row>
    <row r="22" customFormat="false" ht="15" hidden="false" customHeight="true" outlineLevel="0" collapsed="false">
      <c r="A22" s="41" t="s">
        <v>355</v>
      </c>
      <c r="B22" s="65" t="s">
        <v>356</v>
      </c>
      <c r="C22" s="42"/>
      <c r="D22" s="66" t="n">
        <f aca="false">SUMIFS(AHSP!$L$5:$L$3000,AHSP!$C$5:$C$3000,A22,AHSP!$J$5:$J$3000,"Bahan")</f>
        <v>22.68</v>
      </c>
      <c r="E22" s="41" t="s">
        <v>181</v>
      </c>
      <c r="F22" s="42" t="s">
        <v>181</v>
      </c>
      <c r="G22" s="62" t="n">
        <v>1</v>
      </c>
      <c r="H22" s="67" t="n">
        <f aca="false">MAX(0,ROUNDUP(D22/G22-0.0001,0))</f>
        <v>23</v>
      </c>
      <c r="I22" s="58" t="n">
        <v>8350</v>
      </c>
      <c r="J22" s="68" t="n">
        <f aca="false">I22/G22</f>
        <v>8350</v>
      </c>
      <c r="K22" s="46" t="n">
        <f aca="false">D22*J22</f>
        <v>189378</v>
      </c>
      <c r="L22" s="41" t="s">
        <v>301</v>
      </c>
      <c r="M22" s="42" t="s">
        <v>313</v>
      </c>
      <c r="N22" s="48" t="s">
        <v>82</v>
      </c>
      <c r="O22" s="41" t="s">
        <v>303</v>
      </c>
      <c r="P22" s="42"/>
    </row>
    <row r="23" customFormat="false" ht="15" hidden="false" customHeight="true" outlineLevel="0" collapsed="false">
      <c r="A23" s="37" t="s">
        <v>357</v>
      </c>
      <c r="B23" s="25" t="s">
        <v>358</v>
      </c>
      <c r="C23" s="20" t="s">
        <v>359</v>
      </c>
      <c r="D23" s="61" t="n">
        <f aca="false">SUMIFS(AHSP!$L$5:$L$3000,AHSP!$C$5:$C$3000,A23,AHSP!$J$5:$J$3000,"Bahan")</f>
        <v>15.46857</v>
      </c>
      <c r="E23" s="37" t="s">
        <v>336</v>
      </c>
      <c r="F23" s="20" t="s">
        <v>336</v>
      </c>
      <c r="G23" s="62" t="n">
        <v>1</v>
      </c>
      <c r="H23" s="63" t="n">
        <f aca="false">MAX(0,ROUNDUP(D23/G23-0.0001,0))</f>
        <v>16</v>
      </c>
      <c r="I23" s="58" t="n">
        <v>81500</v>
      </c>
      <c r="J23" s="64" t="n">
        <f aca="false">I23/G23</f>
        <v>81500</v>
      </c>
      <c r="K23" s="26" t="n">
        <f aca="false">D23*J23</f>
        <v>1260688.455</v>
      </c>
      <c r="L23" s="37" t="s">
        <v>301</v>
      </c>
      <c r="M23" s="20" t="s">
        <v>310</v>
      </c>
      <c r="N23" s="40" t="s">
        <v>82</v>
      </c>
      <c r="O23" s="37" t="s">
        <v>303</v>
      </c>
      <c r="P23" s="20"/>
    </row>
    <row r="24" customFormat="false" ht="15" hidden="false" customHeight="true" outlineLevel="0" collapsed="false">
      <c r="A24" s="41" t="s">
        <v>360</v>
      </c>
      <c r="B24" s="65" t="s">
        <v>361</v>
      </c>
      <c r="C24" s="42" t="s">
        <v>362</v>
      </c>
      <c r="D24" s="66" t="n">
        <f aca="false">SUMIFS(AHSP!$L$5:$L$3000,AHSP!$C$5:$C$3000,A24,AHSP!$J$5:$J$3000,"Bahan")</f>
        <v>31.89375</v>
      </c>
      <c r="E24" s="41" t="s">
        <v>322</v>
      </c>
      <c r="F24" s="42" t="s">
        <v>322</v>
      </c>
      <c r="G24" s="62" t="n">
        <v>1</v>
      </c>
      <c r="H24" s="67" t="n">
        <f aca="false">MAX(0,ROUNDUP(D24/G24-0.0001,0))</f>
        <v>32</v>
      </c>
      <c r="I24" s="58" t="n">
        <v>25000</v>
      </c>
      <c r="J24" s="68" t="n">
        <f aca="false">I24/G24</f>
        <v>25000</v>
      </c>
      <c r="K24" s="46" t="n">
        <f aca="false">D24*J24</f>
        <v>797343.75</v>
      </c>
      <c r="L24" s="41" t="s">
        <v>301</v>
      </c>
      <c r="M24" s="42" t="s">
        <v>340</v>
      </c>
      <c r="N24" s="47" t="s">
        <v>59</v>
      </c>
      <c r="O24" s="41" t="s">
        <v>303</v>
      </c>
      <c r="P24" s="42"/>
    </row>
    <row r="25" customFormat="false" ht="15" hidden="false" customHeight="true" outlineLevel="0" collapsed="false">
      <c r="A25" s="37" t="s">
        <v>363</v>
      </c>
      <c r="B25" s="25" t="s">
        <v>364</v>
      </c>
      <c r="C25" s="20"/>
      <c r="D25" s="61" t="n">
        <f aca="false">SUMIFS(AHSP!$L$5:$L$3000,AHSP!$C$5:$C$3000,A25,AHSP!$J$5:$J$3000,"Bahan")</f>
        <v>14.88375</v>
      </c>
      <c r="E25" s="37" t="s">
        <v>299</v>
      </c>
      <c r="F25" s="20" t="s">
        <v>365</v>
      </c>
      <c r="G25" s="62" t="n">
        <v>20</v>
      </c>
      <c r="H25" s="63" t="n">
        <f aca="false">MAX(0,ROUNDUP(D25/G25-0.0001,0))</f>
        <v>1</v>
      </c>
      <c r="I25" s="58" t="n">
        <v>85000</v>
      </c>
      <c r="J25" s="64" t="n">
        <f aca="false">I25/G25</f>
        <v>4250</v>
      </c>
      <c r="K25" s="26" t="n">
        <f aca="false">D25*J25</f>
        <v>63255.9375</v>
      </c>
      <c r="L25" s="37" t="s">
        <v>301</v>
      </c>
      <c r="M25" s="20" t="s">
        <v>340</v>
      </c>
      <c r="N25" s="47" t="s">
        <v>59</v>
      </c>
      <c r="O25" s="37" t="s">
        <v>303</v>
      </c>
      <c r="P25" s="20"/>
    </row>
    <row r="26" customFormat="false" ht="15" hidden="false" customHeight="true" outlineLevel="0" collapsed="false">
      <c r="A26" s="41" t="s">
        <v>366</v>
      </c>
      <c r="B26" s="65" t="s">
        <v>141</v>
      </c>
      <c r="C26" s="42" t="s">
        <v>367</v>
      </c>
      <c r="D26" s="66" t="n">
        <f aca="false">SUMIFS(AHSP!$L$5:$L$3000,AHSP!$C$5:$C$3000,A26,AHSP!$J$5:$J$3000,"Bahan")</f>
        <v>37.4325</v>
      </c>
      <c r="E26" s="41" t="s">
        <v>81</v>
      </c>
      <c r="F26" s="42" t="s">
        <v>368</v>
      </c>
      <c r="G26" s="62" t="n">
        <v>1.44</v>
      </c>
      <c r="H26" s="67" t="n">
        <f aca="false">MAX(0,ROUNDUP(D26/G26-0.0001,0))</f>
        <v>26</v>
      </c>
      <c r="I26" s="58" t="n">
        <v>195000</v>
      </c>
      <c r="J26" s="68" t="n">
        <f aca="false">I26/G26</f>
        <v>135416.666666667</v>
      </c>
      <c r="K26" s="46" t="n">
        <f aca="false">D26*J26</f>
        <v>5068984.375</v>
      </c>
      <c r="L26" s="69" t="s">
        <v>369</v>
      </c>
      <c r="M26" s="42" t="s">
        <v>370</v>
      </c>
      <c r="N26" s="48" t="s">
        <v>82</v>
      </c>
      <c r="O26" s="41" t="s">
        <v>303</v>
      </c>
      <c r="P26" s="42"/>
    </row>
    <row r="27" customFormat="false" ht="15" hidden="false" customHeight="true" outlineLevel="0" collapsed="false">
      <c r="A27" s="37" t="s">
        <v>371</v>
      </c>
      <c r="B27" s="25" t="s">
        <v>372</v>
      </c>
      <c r="C27" s="20"/>
      <c r="D27" s="61" t="n">
        <f aca="false">SUMIFS(AHSP!$L$5:$L$3000,AHSP!$C$5:$C$3000,A27,AHSP!$J$5:$J$3000,"Bahan")</f>
        <v>3.3</v>
      </c>
      <c r="E27" s="37" t="s">
        <v>81</v>
      </c>
      <c r="F27" s="20" t="s">
        <v>373</v>
      </c>
      <c r="G27" s="62" t="n">
        <v>1</v>
      </c>
      <c r="H27" s="63" t="n">
        <f aca="false">MAX(0,ROUNDUP(D27/G27-0.0001,0))</f>
        <v>4</v>
      </c>
      <c r="I27" s="58" t="n">
        <v>85000</v>
      </c>
      <c r="J27" s="64" t="n">
        <f aca="false">I27/G27</f>
        <v>85000</v>
      </c>
      <c r="K27" s="26" t="n">
        <f aca="false">D27*J27</f>
        <v>280500</v>
      </c>
      <c r="L27" s="37" t="s">
        <v>301</v>
      </c>
      <c r="M27" s="20" t="s">
        <v>340</v>
      </c>
      <c r="N27" s="47" t="s">
        <v>59</v>
      </c>
      <c r="O27" s="37" t="s">
        <v>303</v>
      </c>
      <c r="P27" s="20"/>
    </row>
    <row r="28" customFormat="false" ht="15" hidden="false" customHeight="true" outlineLevel="0" collapsed="false">
      <c r="A28" s="41" t="s">
        <v>374</v>
      </c>
      <c r="B28" s="65" t="s">
        <v>375</v>
      </c>
      <c r="C28" s="42"/>
      <c r="D28" s="66" t="n">
        <f aca="false">SUMIFS(AHSP!$L$5:$L$3000,AHSP!$C$5:$C$3000,A28,AHSP!$J$5:$J$3000,"Bahan")</f>
        <v>16.94</v>
      </c>
      <c r="E28" s="41" t="s">
        <v>81</v>
      </c>
      <c r="F28" s="42" t="s">
        <v>373</v>
      </c>
      <c r="G28" s="62" t="n">
        <v>1</v>
      </c>
      <c r="H28" s="67" t="n">
        <f aca="false">MAX(0,ROUNDUP(D28/G28-0.0001,0))</f>
        <v>17</v>
      </c>
      <c r="I28" s="58" t="n">
        <v>70000</v>
      </c>
      <c r="J28" s="68" t="n">
        <f aca="false">I28/G28</f>
        <v>70000</v>
      </c>
      <c r="K28" s="46" t="n">
        <f aca="false">D28*J28</f>
        <v>1185800</v>
      </c>
      <c r="L28" s="69" t="s">
        <v>369</v>
      </c>
      <c r="M28" s="42" t="s">
        <v>376</v>
      </c>
      <c r="N28" s="48" t="s">
        <v>82</v>
      </c>
      <c r="O28" s="41" t="s">
        <v>303</v>
      </c>
      <c r="P28" s="42"/>
    </row>
    <row r="29" customFormat="false" ht="15" hidden="false" customHeight="true" outlineLevel="0" collapsed="false">
      <c r="A29" s="37" t="s">
        <v>377</v>
      </c>
      <c r="B29" s="25" t="s">
        <v>149</v>
      </c>
      <c r="C29" s="20" t="s">
        <v>378</v>
      </c>
      <c r="D29" s="61" t="n">
        <f aca="false">SUMIFS(AHSP!$L$5:$L$3000,AHSP!$C$5:$C$3000,A29,AHSP!$J$5:$J$3000,"Bahan")</f>
        <v>4.95</v>
      </c>
      <c r="E29" s="37" t="s">
        <v>81</v>
      </c>
      <c r="F29" s="20" t="s">
        <v>368</v>
      </c>
      <c r="G29" s="62" t="n">
        <v>0.96</v>
      </c>
      <c r="H29" s="63" t="n">
        <f aca="false">MAX(0,ROUNDUP(D29/G29-0.0001,0))</f>
        <v>6</v>
      </c>
      <c r="I29" s="58" t="n">
        <v>60000</v>
      </c>
      <c r="J29" s="64" t="n">
        <f aca="false">I29/G29</f>
        <v>62500</v>
      </c>
      <c r="K29" s="26" t="n">
        <f aca="false">D29*J29</f>
        <v>309375</v>
      </c>
      <c r="L29" s="70" t="s">
        <v>369</v>
      </c>
      <c r="M29" s="20" t="s">
        <v>376</v>
      </c>
      <c r="N29" s="40" t="s">
        <v>82</v>
      </c>
      <c r="O29" s="37" t="s">
        <v>303</v>
      </c>
      <c r="P29" s="20"/>
    </row>
    <row r="30" customFormat="false" ht="15" hidden="false" customHeight="true" outlineLevel="0" collapsed="false">
      <c r="A30" s="41" t="s">
        <v>379</v>
      </c>
      <c r="B30" s="65" t="s">
        <v>380</v>
      </c>
      <c r="C30" s="42"/>
      <c r="D30" s="66" t="n">
        <f aca="false">SUMIFS(AHSP!$L$5:$L$3000,AHSP!$C$5:$C$3000,A30,AHSP!$J$5:$J$3000,"Bahan")</f>
        <v>24.865</v>
      </c>
      <c r="E30" s="41" t="s">
        <v>299</v>
      </c>
      <c r="F30" s="42" t="s">
        <v>381</v>
      </c>
      <c r="G30" s="62" t="n">
        <v>1</v>
      </c>
      <c r="H30" s="67" t="n">
        <f aca="false">MAX(0,ROUNDUP(D30/G30-0.0001,0))</f>
        <v>25</v>
      </c>
      <c r="I30" s="58" t="n">
        <v>15000</v>
      </c>
      <c r="J30" s="68" t="n">
        <f aca="false">I30/G30</f>
        <v>15000</v>
      </c>
      <c r="K30" s="46" t="n">
        <f aca="false">D30*J30</f>
        <v>372975</v>
      </c>
      <c r="L30" s="41" t="s">
        <v>301</v>
      </c>
      <c r="M30" s="42" t="s">
        <v>340</v>
      </c>
      <c r="N30" s="47" t="s">
        <v>59</v>
      </c>
      <c r="O30" s="41" t="s">
        <v>303</v>
      </c>
      <c r="P30" s="42"/>
    </row>
    <row r="31" customFormat="false" ht="15" hidden="false" customHeight="true" outlineLevel="0" collapsed="false">
      <c r="A31" s="37" t="s">
        <v>382</v>
      </c>
      <c r="B31" s="25" t="s">
        <v>383</v>
      </c>
      <c r="C31" s="20"/>
      <c r="D31" s="61" t="n">
        <f aca="false">SUMIFS(AHSP!$L$5:$L$3000,AHSP!$C$5:$C$3000,A31,AHSP!$J$5:$J$3000,"Bahan")</f>
        <v>17.421915</v>
      </c>
      <c r="E31" s="37" t="s">
        <v>299</v>
      </c>
      <c r="F31" s="20" t="s">
        <v>384</v>
      </c>
      <c r="G31" s="62" t="n">
        <v>5</v>
      </c>
      <c r="H31" s="63" t="n">
        <f aca="false">MAX(0,ROUNDUP(D31/G31-0.0001,0))</f>
        <v>4</v>
      </c>
      <c r="I31" s="58" t="n">
        <v>150000</v>
      </c>
      <c r="J31" s="64" t="n">
        <f aca="false">I31/G31</f>
        <v>30000</v>
      </c>
      <c r="K31" s="26" t="n">
        <f aca="false">D31*J31</f>
        <v>522657.45</v>
      </c>
      <c r="L31" s="37" t="s">
        <v>301</v>
      </c>
      <c r="M31" s="20" t="s">
        <v>340</v>
      </c>
      <c r="N31" s="47" t="s">
        <v>59</v>
      </c>
      <c r="O31" s="37" t="s">
        <v>303</v>
      </c>
      <c r="P31" s="20"/>
    </row>
    <row r="32" customFormat="false" ht="15" hidden="false" customHeight="true" outlineLevel="0" collapsed="false">
      <c r="A32" s="41" t="s">
        <v>385</v>
      </c>
      <c r="B32" s="65" t="s">
        <v>386</v>
      </c>
      <c r="C32" s="42"/>
      <c r="D32" s="66" t="n">
        <f aca="false">SUMIFS(AHSP!$L$5:$L$3000,AHSP!$C$5:$C$3000,A32,AHSP!$J$5:$J$3000,"Bahan")</f>
        <v>17.421915</v>
      </c>
      <c r="E32" s="41" t="s">
        <v>299</v>
      </c>
      <c r="F32" s="42" t="s">
        <v>384</v>
      </c>
      <c r="G32" s="62" t="n">
        <v>5</v>
      </c>
      <c r="H32" s="67" t="n">
        <f aca="false">MAX(0,ROUNDUP(D32/G32-0.0001,0))</f>
        <v>4</v>
      </c>
      <c r="I32" s="58" t="n">
        <v>200000</v>
      </c>
      <c r="J32" s="68" t="n">
        <f aca="false">I32/G32</f>
        <v>40000</v>
      </c>
      <c r="K32" s="46" t="n">
        <f aca="false">D32*J32</f>
        <v>696876.6</v>
      </c>
      <c r="L32" s="41" t="s">
        <v>301</v>
      </c>
      <c r="M32" s="42" t="s">
        <v>340</v>
      </c>
      <c r="N32" s="47" t="s">
        <v>59</v>
      </c>
      <c r="O32" s="41" t="s">
        <v>303</v>
      </c>
      <c r="P32" s="42"/>
    </row>
    <row r="33" customFormat="false" ht="15" hidden="false" customHeight="true" outlineLevel="0" collapsed="false">
      <c r="A33" s="37" t="s">
        <v>387</v>
      </c>
      <c r="B33" s="25" t="s">
        <v>388</v>
      </c>
      <c r="C33" s="20"/>
      <c r="D33" s="61" t="n">
        <f aca="false">SUMIFS(AHSP!$L$5:$L$3000,AHSP!$C$5:$C$3000,A33,AHSP!$J$5:$J$3000,"Bahan")</f>
        <v>45.296979</v>
      </c>
      <c r="E33" s="37" t="s">
        <v>299</v>
      </c>
      <c r="F33" s="20" t="s">
        <v>384</v>
      </c>
      <c r="G33" s="62" t="n">
        <v>5</v>
      </c>
      <c r="H33" s="63" t="n">
        <f aca="false">MAX(0,ROUNDUP(D33/G33-0.0001,0))</f>
        <v>10</v>
      </c>
      <c r="I33" s="58" t="n">
        <v>224000</v>
      </c>
      <c r="J33" s="64" t="n">
        <f aca="false">I33/G33</f>
        <v>44800</v>
      </c>
      <c r="K33" s="26" t="n">
        <f aca="false">D33*J33</f>
        <v>2029304.6592</v>
      </c>
      <c r="L33" s="70" t="s">
        <v>369</v>
      </c>
      <c r="M33" s="20" t="s">
        <v>389</v>
      </c>
      <c r="N33" s="40" t="s">
        <v>82</v>
      </c>
      <c r="O33" s="37" t="s">
        <v>303</v>
      </c>
      <c r="P33" s="20"/>
    </row>
    <row r="34" customFormat="false" ht="15" hidden="false" customHeight="true" outlineLevel="0" collapsed="false">
      <c r="A34" s="41" t="s">
        <v>390</v>
      </c>
      <c r="B34" s="65" t="s">
        <v>391</v>
      </c>
      <c r="C34" s="42"/>
      <c r="D34" s="66" t="n">
        <f aca="false">SUMIFS(AHSP!$L$5:$L$3000,AHSP!$C$5:$C$3000,A34,AHSP!$J$5:$J$3000,"Bahan")</f>
        <v>8.86087700876839</v>
      </c>
      <c r="E34" s="41" t="s">
        <v>299</v>
      </c>
      <c r="F34" s="42" t="s">
        <v>392</v>
      </c>
      <c r="G34" s="62" t="n">
        <v>4</v>
      </c>
      <c r="H34" s="67" t="n">
        <f aca="false">MAX(0,ROUNDUP(D34/G34-0.0001,0))</f>
        <v>3</v>
      </c>
      <c r="I34" s="58" t="n">
        <v>347500</v>
      </c>
      <c r="J34" s="68" t="n">
        <f aca="false">I34/G34</f>
        <v>86875</v>
      </c>
      <c r="K34" s="46" t="n">
        <f aca="false">D34*J34</f>
        <v>769788.690136754</v>
      </c>
      <c r="L34" s="69" t="s">
        <v>369</v>
      </c>
      <c r="M34" s="42" t="s">
        <v>393</v>
      </c>
      <c r="N34" s="48" t="s">
        <v>82</v>
      </c>
      <c r="O34" s="41" t="s">
        <v>303</v>
      </c>
      <c r="P34" s="42"/>
    </row>
    <row r="35" customFormat="false" ht="15" hidden="false" customHeight="true" outlineLevel="0" collapsed="false">
      <c r="A35" s="37" t="s">
        <v>394</v>
      </c>
      <c r="B35" s="25" t="s">
        <v>395</v>
      </c>
      <c r="C35" s="20" t="s">
        <v>396</v>
      </c>
      <c r="D35" s="61" t="n">
        <f aca="false">SUMIFS(AHSP!$L$5:$L$3000,AHSP!$C$5:$C$3000,A35,AHSP!$J$5:$J$3000,"Bahan")</f>
        <v>17.0652052258395</v>
      </c>
      <c r="E35" s="37" t="s">
        <v>345</v>
      </c>
      <c r="F35" s="20" t="s">
        <v>397</v>
      </c>
      <c r="G35" s="62" t="n">
        <v>2.5</v>
      </c>
      <c r="H35" s="63" t="n">
        <f aca="false">MAX(0,ROUNDUP(D35/G35-0.0001,0))</f>
        <v>7</v>
      </c>
      <c r="I35" s="58" t="n">
        <v>490720</v>
      </c>
      <c r="J35" s="64" t="n">
        <f aca="false">I35/G35</f>
        <v>196288</v>
      </c>
      <c r="K35" s="26" t="n">
        <f aca="false">D35*J35</f>
        <v>3349695.00336958</v>
      </c>
      <c r="L35" s="70" t="s">
        <v>369</v>
      </c>
      <c r="M35" s="20" t="s">
        <v>389</v>
      </c>
      <c r="N35" s="40" t="s">
        <v>82</v>
      </c>
      <c r="O35" s="37" t="s">
        <v>303</v>
      </c>
      <c r="P35" s="20"/>
    </row>
    <row r="36" customFormat="false" ht="15" hidden="false" customHeight="true" outlineLevel="0" collapsed="false">
      <c r="A36" s="41" t="s">
        <v>398</v>
      </c>
      <c r="B36" s="65" t="s">
        <v>399</v>
      </c>
      <c r="C36" s="42" t="s">
        <v>362</v>
      </c>
      <c r="D36" s="66" t="n">
        <f aca="false">SUMIFS(AHSP!$L$5:$L$3000,AHSP!$C$5:$C$3000,A36,AHSP!$J$5:$J$3000,"Bahan")</f>
        <v>27.5</v>
      </c>
      <c r="E36" s="41" t="s">
        <v>400</v>
      </c>
      <c r="F36" s="42" t="s">
        <v>322</v>
      </c>
      <c r="G36" s="62" t="n">
        <v>4</v>
      </c>
      <c r="H36" s="67" t="n">
        <f aca="false">MAX(0,ROUNDUP(D36/G36-0.0001,0))</f>
        <v>7</v>
      </c>
      <c r="I36" s="58" t="n">
        <v>38000</v>
      </c>
      <c r="J36" s="68" t="n">
        <f aca="false">I36/G36</f>
        <v>9500</v>
      </c>
      <c r="K36" s="46" t="n">
        <f aca="false">D36*J36</f>
        <v>261250</v>
      </c>
      <c r="L36" s="41" t="s">
        <v>301</v>
      </c>
      <c r="M36" s="42" t="s">
        <v>340</v>
      </c>
      <c r="N36" s="47" t="s">
        <v>59</v>
      </c>
      <c r="O36" s="41" t="s">
        <v>303</v>
      </c>
      <c r="P36" s="42"/>
    </row>
    <row r="37" customFormat="false" ht="15" hidden="false" customHeight="true" outlineLevel="0" collapsed="false">
      <c r="A37" s="37" t="s">
        <v>401</v>
      </c>
      <c r="B37" s="25" t="s">
        <v>402</v>
      </c>
      <c r="C37" s="20" t="s">
        <v>362</v>
      </c>
      <c r="D37" s="61" t="n">
        <f aca="false">SUMIFS(AHSP!$L$5:$L$3000,AHSP!$C$5:$C$3000,A37,AHSP!$J$5:$J$3000,"Bahan")</f>
        <v>11</v>
      </c>
      <c r="E37" s="37" t="s">
        <v>400</v>
      </c>
      <c r="F37" s="20" t="s">
        <v>322</v>
      </c>
      <c r="G37" s="62" t="n">
        <v>4</v>
      </c>
      <c r="H37" s="63" t="n">
        <f aca="false">MAX(0,ROUNDUP(D37/G37-0.0001,0))</f>
        <v>3</v>
      </c>
      <c r="I37" s="58" t="n">
        <v>160000</v>
      </c>
      <c r="J37" s="64" t="n">
        <f aca="false">I37/G37</f>
        <v>40000</v>
      </c>
      <c r="K37" s="26" t="n">
        <f aca="false">D37*J37</f>
        <v>440000</v>
      </c>
      <c r="L37" s="37" t="s">
        <v>301</v>
      </c>
      <c r="M37" s="20" t="s">
        <v>340</v>
      </c>
      <c r="N37" s="47" t="s">
        <v>59</v>
      </c>
      <c r="O37" s="37" t="s">
        <v>303</v>
      </c>
      <c r="P37" s="20"/>
    </row>
    <row r="38" customFormat="false" ht="15" hidden="false" customHeight="true" outlineLevel="0" collapsed="false">
      <c r="A38" s="41" t="s">
        <v>403</v>
      </c>
      <c r="B38" s="65" t="s">
        <v>404</v>
      </c>
      <c r="C38" s="42" t="s">
        <v>362</v>
      </c>
      <c r="D38" s="66" t="n">
        <f aca="false">SUMIFS(AHSP!$L$5:$L$3000,AHSP!$C$5:$C$3000,A38,AHSP!$J$5:$J$3000,"Bahan")</f>
        <v>8.8</v>
      </c>
      <c r="E38" s="41" t="s">
        <v>400</v>
      </c>
      <c r="F38" s="42" t="s">
        <v>322</v>
      </c>
      <c r="G38" s="62" t="n">
        <v>4</v>
      </c>
      <c r="H38" s="67" t="n">
        <f aca="false">MAX(0,ROUNDUP(D38/G38-0.0001,0))</f>
        <v>3</v>
      </c>
      <c r="I38" s="58" t="n">
        <v>230000</v>
      </c>
      <c r="J38" s="68" t="n">
        <f aca="false">I38/G38</f>
        <v>57500</v>
      </c>
      <c r="K38" s="46" t="n">
        <f aca="false">D38*J38</f>
        <v>506000</v>
      </c>
      <c r="L38" s="41" t="s">
        <v>301</v>
      </c>
      <c r="M38" s="42" t="s">
        <v>340</v>
      </c>
      <c r="N38" s="47" t="s">
        <v>59</v>
      </c>
      <c r="O38" s="41" t="s">
        <v>303</v>
      </c>
      <c r="P38" s="42"/>
    </row>
    <row r="39" customFormat="false" ht="15" hidden="false" customHeight="true" outlineLevel="0" collapsed="false">
      <c r="A39" s="37" t="s">
        <v>405</v>
      </c>
      <c r="B39" s="25" t="s">
        <v>406</v>
      </c>
      <c r="C39" s="20" t="s">
        <v>407</v>
      </c>
      <c r="D39" s="61" t="n">
        <f aca="false">SUMIFS(AHSP!$L$5:$L$3000,AHSP!$C$5:$C$3000,A39,AHSP!$J$5:$J$3000,"Bahan")</f>
        <v>43</v>
      </c>
      <c r="E39" s="37" t="s">
        <v>400</v>
      </c>
      <c r="F39" s="20" t="s">
        <v>408</v>
      </c>
      <c r="G39" s="62" t="n">
        <v>1</v>
      </c>
      <c r="H39" s="63" t="n">
        <f aca="false">MAX(0,ROUNDUP(D39/G39-0.0001,0))</f>
        <v>43</v>
      </c>
      <c r="I39" s="58" t="n">
        <v>7500</v>
      </c>
      <c r="J39" s="64" t="n">
        <f aca="false">I39/G39</f>
        <v>7500</v>
      </c>
      <c r="K39" s="26" t="n">
        <f aca="false">D39*J39</f>
        <v>322500</v>
      </c>
      <c r="L39" s="37" t="s">
        <v>301</v>
      </c>
      <c r="M39" s="20" t="s">
        <v>340</v>
      </c>
      <c r="N39" s="47" t="s">
        <v>59</v>
      </c>
      <c r="O39" s="37" t="s">
        <v>303</v>
      </c>
      <c r="P39" s="20"/>
    </row>
    <row r="40" customFormat="false" ht="15" hidden="false" customHeight="true" outlineLevel="0" collapsed="false">
      <c r="A40" s="41" t="s">
        <v>409</v>
      </c>
      <c r="B40" s="65" t="s">
        <v>410</v>
      </c>
      <c r="C40" s="42"/>
      <c r="D40" s="66" t="n">
        <f aca="false">SUMIFS(AHSP!$L$5:$L$3000,AHSP!$C$5:$C$3000,A40,AHSP!$J$5:$J$3000,"Bahan")</f>
        <v>126.5</v>
      </c>
      <c r="E40" s="41" t="s">
        <v>400</v>
      </c>
      <c r="F40" s="42" t="s">
        <v>411</v>
      </c>
      <c r="G40" s="62" t="n">
        <v>50</v>
      </c>
      <c r="H40" s="67" t="n">
        <f aca="false">MAX(0,ROUNDUP(D40/G40-0.0001,0))</f>
        <v>3</v>
      </c>
      <c r="I40" s="58" t="n">
        <v>575000</v>
      </c>
      <c r="J40" s="68" t="n">
        <f aca="false">I40/G40</f>
        <v>11500</v>
      </c>
      <c r="K40" s="46" t="n">
        <f aca="false">D40*J40</f>
        <v>1454750</v>
      </c>
      <c r="L40" s="41" t="s">
        <v>301</v>
      </c>
      <c r="M40" s="42" t="s">
        <v>340</v>
      </c>
      <c r="N40" s="47" t="s">
        <v>59</v>
      </c>
      <c r="O40" s="41" t="s">
        <v>303</v>
      </c>
      <c r="P40" s="42"/>
    </row>
    <row r="41" customFormat="false" ht="23.25" hidden="false" customHeight="true" outlineLevel="0" collapsed="false">
      <c r="A41" s="37" t="s">
        <v>412</v>
      </c>
      <c r="B41" s="25" t="s">
        <v>413</v>
      </c>
      <c r="C41" s="20"/>
      <c r="D41" s="61" t="n">
        <f aca="false">SUMIFS(AHSP!$L$5:$L$3000,AHSP!$C$5:$C$3000,A41,AHSP!$J$5:$J$3000,"Bahan")</f>
        <v>77</v>
      </c>
      <c r="E41" s="37" t="s">
        <v>400</v>
      </c>
      <c r="F41" s="20" t="s">
        <v>411</v>
      </c>
      <c r="G41" s="62" t="n">
        <v>50</v>
      </c>
      <c r="H41" s="63" t="n">
        <f aca="false">MAX(0,ROUNDUP(D41/G41-0.0001,0))</f>
        <v>2</v>
      </c>
      <c r="I41" s="58" t="n">
        <v>1350000</v>
      </c>
      <c r="J41" s="64" t="n">
        <f aca="false">I41/G41</f>
        <v>27000</v>
      </c>
      <c r="K41" s="26" t="n">
        <f aca="false">D41*J41</f>
        <v>2079000</v>
      </c>
      <c r="L41" s="37" t="s">
        <v>301</v>
      </c>
      <c r="M41" s="20" t="s">
        <v>316</v>
      </c>
      <c r="N41" s="40" t="s">
        <v>82</v>
      </c>
      <c r="O41" s="37" t="s">
        <v>303</v>
      </c>
      <c r="P41" s="20"/>
    </row>
    <row r="42" customFormat="false" ht="15" hidden="false" customHeight="true" outlineLevel="0" collapsed="false">
      <c r="A42" s="41" t="s">
        <v>414</v>
      </c>
      <c r="B42" s="65" t="s">
        <v>415</v>
      </c>
      <c r="C42" s="42" t="s">
        <v>416</v>
      </c>
      <c r="D42" s="66" t="n">
        <f aca="false">SUMIFS(AHSP!$L$5:$L$3000,AHSP!$C$5:$C$3000,A42,AHSP!$J$5:$J$3000,"Bahan")</f>
        <v>203.5</v>
      </c>
      <c r="E42" s="41" t="s">
        <v>400</v>
      </c>
      <c r="F42" s="42" t="s">
        <v>322</v>
      </c>
      <c r="G42" s="62" t="n">
        <v>3</v>
      </c>
      <c r="H42" s="67" t="n">
        <f aca="false">MAX(0,ROUNDUP(D42/G42-0.0001,0))</f>
        <v>68</v>
      </c>
      <c r="I42" s="58" t="n">
        <v>12000</v>
      </c>
      <c r="J42" s="68" t="n">
        <f aca="false">I42/G42</f>
        <v>4000</v>
      </c>
      <c r="K42" s="46" t="n">
        <f aca="false">D42*J42</f>
        <v>814000</v>
      </c>
      <c r="L42" s="41" t="s">
        <v>301</v>
      </c>
      <c r="M42" s="42" t="s">
        <v>340</v>
      </c>
      <c r="N42" s="47" t="s">
        <v>59</v>
      </c>
      <c r="O42" s="41" t="s">
        <v>303</v>
      </c>
      <c r="P42" s="42"/>
    </row>
    <row r="43" customFormat="false" ht="15" hidden="false" customHeight="true" outlineLevel="0" collapsed="false">
      <c r="A43" s="37" t="s">
        <v>417</v>
      </c>
      <c r="B43" s="25" t="s">
        <v>418</v>
      </c>
      <c r="C43" s="20" t="s">
        <v>419</v>
      </c>
      <c r="D43" s="61" t="n">
        <f aca="false">SUMIFS(AHSP!$L$5:$L$3000,AHSP!$C$5:$C$3000,A43,AHSP!$J$5:$J$3000,"Bahan")</f>
        <v>14</v>
      </c>
      <c r="E43" s="37" t="s">
        <v>181</v>
      </c>
      <c r="F43" s="20" t="s">
        <v>181</v>
      </c>
      <c r="G43" s="62" t="n">
        <v>1</v>
      </c>
      <c r="H43" s="63" t="n">
        <f aca="false">MAX(0,ROUNDUP(D43/G43-0.0001,0))</f>
        <v>14</v>
      </c>
      <c r="I43" s="58" t="n">
        <v>35000</v>
      </c>
      <c r="J43" s="64" t="n">
        <f aca="false">I43/G43</f>
        <v>35000</v>
      </c>
      <c r="K43" s="26" t="n">
        <f aca="false">D43*J43</f>
        <v>490000</v>
      </c>
      <c r="L43" s="37" t="s">
        <v>301</v>
      </c>
      <c r="M43" s="20" t="s">
        <v>340</v>
      </c>
      <c r="N43" s="47" t="s">
        <v>59</v>
      </c>
      <c r="O43" s="37" t="s">
        <v>303</v>
      </c>
      <c r="P43" s="20"/>
    </row>
    <row r="44" customFormat="false" ht="15" hidden="false" customHeight="true" outlineLevel="0" collapsed="false">
      <c r="A44" s="41" t="s">
        <v>420</v>
      </c>
      <c r="B44" s="65" t="s">
        <v>421</v>
      </c>
      <c r="C44" s="42"/>
      <c r="D44" s="66" t="n">
        <f aca="false">SUMIFS(AHSP!$L$5:$L$3000,AHSP!$C$5:$C$3000,A44,AHSP!$J$5:$J$3000,"Bahan")</f>
        <v>10</v>
      </c>
      <c r="E44" s="41" t="s">
        <v>181</v>
      </c>
      <c r="F44" s="42" t="s">
        <v>181</v>
      </c>
      <c r="G44" s="62" t="n">
        <v>1</v>
      </c>
      <c r="H44" s="67" t="n">
        <f aca="false">MAX(0,ROUNDUP(D44/G44-0.0001,0))</f>
        <v>10</v>
      </c>
      <c r="I44" s="58" t="n">
        <v>90000</v>
      </c>
      <c r="J44" s="68" t="n">
        <f aca="false">I44/G44</f>
        <v>90000</v>
      </c>
      <c r="K44" s="46" t="n">
        <f aca="false">D44*J44</f>
        <v>900000</v>
      </c>
      <c r="L44" s="41" t="s">
        <v>301</v>
      </c>
      <c r="M44" s="42" t="s">
        <v>340</v>
      </c>
      <c r="N44" s="47" t="s">
        <v>59</v>
      </c>
      <c r="O44" s="41" t="s">
        <v>303</v>
      </c>
      <c r="P44" s="42"/>
    </row>
    <row r="45" customFormat="false" ht="15" hidden="false" customHeight="true" outlineLevel="0" collapsed="false">
      <c r="A45" s="37" t="s">
        <v>422</v>
      </c>
      <c r="B45" s="25" t="s">
        <v>204</v>
      </c>
      <c r="C45" s="20"/>
      <c r="D45" s="61" t="n">
        <f aca="false">SUMIFS(AHSP!$L$5:$L$3000,AHSP!$C$5:$C$3000,A45,AHSP!$J$5:$J$3000,"Bahan")</f>
        <v>1</v>
      </c>
      <c r="E45" s="37" t="s">
        <v>175</v>
      </c>
      <c r="F45" s="20" t="s">
        <v>175</v>
      </c>
      <c r="G45" s="62" t="n">
        <v>1</v>
      </c>
      <c r="H45" s="63" t="n">
        <f aca="false">MAX(0,ROUNDUP(D45/G45-0.0001,0))</f>
        <v>1</v>
      </c>
      <c r="I45" s="58" t="n">
        <v>700000</v>
      </c>
      <c r="J45" s="64" t="n">
        <f aca="false">I45/G45</f>
        <v>700000</v>
      </c>
      <c r="K45" s="26" t="n">
        <f aca="false">D45*J45</f>
        <v>700000</v>
      </c>
      <c r="L45" s="37" t="s">
        <v>301</v>
      </c>
      <c r="M45" s="20" t="s">
        <v>340</v>
      </c>
      <c r="N45" s="47" t="s">
        <v>59</v>
      </c>
      <c r="O45" s="37" t="s">
        <v>303</v>
      </c>
      <c r="P45" s="20"/>
    </row>
    <row r="46" customFormat="false" ht="15" hidden="false" customHeight="true" outlineLevel="0" collapsed="false">
      <c r="A46" s="41" t="s">
        <v>423</v>
      </c>
      <c r="B46" s="65" t="s">
        <v>424</v>
      </c>
      <c r="C46" s="42" t="s">
        <v>425</v>
      </c>
      <c r="D46" s="66" t="n">
        <f aca="false">SUMIFS(AHSP!$L$5:$L$3000,AHSP!$C$5:$C$3000,A46,AHSP!$J$5:$J$3000,"Bahan")</f>
        <v>3</v>
      </c>
      <c r="E46" s="41" t="s">
        <v>181</v>
      </c>
      <c r="F46" s="42" t="s">
        <v>181</v>
      </c>
      <c r="G46" s="62" t="n">
        <v>1</v>
      </c>
      <c r="H46" s="67" t="n">
        <f aca="false">MAX(0,ROUNDUP(D46/G46-0.0001,0))</f>
        <v>3</v>
      </c>
      <c r="I46" s="58" t="n">
        <v>925000</v>
      </c>
      <c r="J46" s="68" t="n">
        <f aca="false">I46/G46</f>
        <v>925000</v>
      </c>
      <c r="K46" s="46" t="n">
        <f aca="false">D46*J46</f>
        <v>2775000</v>
      </c>
      <c r="L46" s="41" t="s">
        <v>301</v>
      </c>
      <c r="M46" s="42" t="s">
        <v>426</v>
      </c>
      <c r="N46" s="48" t="s">
        <v>82</v>
      </c>
      <c r="O46" s="41" t="s">
        <v>303</v>
      </c>
      <c r="P46" s="42"/>
    </row>
    <row r="47" customFormat="false" ht="15" hidden="false" customHeight="true" outlineLevel="0" collapsed="false">
      <c r="A47" s="37" t="s">
        <v>427</v>
      </c>
      <c r="B47" s="25" t="s">
        <v>428</v>
      </c>
      <c r="C47" s="20"/>
      <c r="D47" s="61" t="n">
        <f aca="false">SUMIFS(AHSP!$L$5:$L$3000,AHSP!$C$5:$C$3000,A47,AHSP!$J$5:$J$3000,"Bahan")</f>
        <v>3</v>
      </c>
      <c r="E47" s="37" t="s">
        <v>175</v>
      </c>
      <c r="F47" s="20" t="s">
        <v>175</v>
      </c>
      <c r="G47" s="62" t="n">
        <v>1</v>
      </c>
      <c r="H47" s="63" t="n">
        <f aca="false">MAX(0,ROUNDUP(D47/G47-0.0001,0))</f>
        <v>3</v>
      </c>
      <c r="I47" s="58" t="n">
        <v>415000</v>
      </c>
      <c r="J47" s="64" t="n">
        <f aca="false">I47/G47</f>
        <v>415000</v>
      </c>
      <c r="K47" s="26" t="n">
        <f aca="false">D47*J47</f>
        <v>1245000</v>
      </c>
      <c r="L47" s="70" t="s">
        <v>369</v>
      </c>
      <c r="M47" s="20" t="s">
        <v>429</v>
      </c>
      <c r="N47" s="40" t="s">
        <v>82</v>
      </c>
      <c r="O47" s="37" t="s">
        <v>303</v>
      </c>
      <c r="P47" s="20"/>
    </row>
    <row r="48" customFormat="false" ht="15" hidden="false" customHeight="true" outlineLevel="0" collapsed="false">
      <c r="A48" s="41" t="s">
        <v>430</v>
      </c>
      <c r="B48" s="65" t="s">
        <v>431</v>
      </c>
      <c r="C48" s="42" t="s">
        <v>432</v>
      </c>
      <c r="D48" s="66" t="n">
        <f aca="false">SUMIFS(AHSP!$L$5:$L$3000,AHSP!$C$5:$C$3000,A48,AHSP!$J$5:$J$3000,"Bahan")</f>
        <v>3</v>
      </c>
      <c r="E48" s="41" t="s">
        <v>175</v>
      </c>
      <c r="F48" s="42" t="s">
        <v>175</v>
      </c>
      <c r="G48" s="62" t="n">
        <v>1</v>
      </c>
      <c r="H48" s="67" t="n">
        <f aca="false">MAX(0,ROUNDUP(D48/G48-0.0001,0))</f>
        <v>3</v>
      </c>
      <c r="I48" s="58" t="n">
        <v>291200</v>
      </c>
      <c r="J48" s="68" t="n">
        <f aca="false">I48/G48</f>
        <v>291200</v>
      </c>
      <c r="K48" s="46" t="n">
        <f aca="false">D48*J48</f>
        <v>873600</v>
      </c>
      <c r="L48" s="69" t="s">
        <v>369</v>
      </c>
      <c r="M48" s="42" t="s">
        <v>433</v>
      </c>
      <c r="N48" s="48" t="s">
        <v>82</v>
      </c>
      <c r="O48" s="41" t="s">
        <v>303</v>
      </c>
      <c r="P48" s="42"/>
    </row>
    <row r="49" customFormat="false" ht="15" hidden="false" customHeight="true" outlineLevel="0" collapsed="false">
      <c r="A49" s="37" t="s">
        <v>434</v>
      </c>
      <c r="B49" s="25" t="s">
        <v>158</v>
      </c>
      <c r="C49" s="20" t="s">
        <v>175</v>
      </c>
      <c r="D49" s="61" t="n">
        <f aca="false">SUMIFS(AHSP!$L$5:$L$3000,AHSP!$C$5:$C$3000,A49,AHSP!$J$5:$J$3000,"Bahan")</f>
        <v>1</v>
      </c>
      <c r="E49" s="37" t="s">
        <v>175</v>
      </c>
      <c r="F49" s="20" t="s">
        <v>175</v>
      </c>
      <c r="G49" s="62" t="n">
        <v>1</v>
      </c>
      <c r="H49" s="63" t="n">
        <f aca="false">MAX(0,ROUNDUP(D49/G49-0.0001,0))</f>
        <v>1</v>
      </c>
      <c r="I49" s="58" t="n">
        <v>949900</v>
      </c>
      <c r="J49" s="64" t="n">
        <f aca="false">I49/G49</f>
        <v>949900</v>
      </c>
      <c r="K49" s="26" t="n">
        <f aca="false">D49*J49</f>
        <v>949900</v>
      </c>
      <c r="L49" s="70" t="s">
        <v>369</v>
      </c>
      <c r="M49" s="20" t="s">
        <v>435</v>
      </c>
      <c r="N49" s="40" t="s">
        <v>82</v>
      </c>
      <c r="O49" s="37" t="s">
        <v>303</v>
      </c>
      <c r="P49" s="20"/>
    </row>
    <row r="50" customFormat="false" ht="15" hidden="false" customHeight="true" outlineLevel="0" collapsed="false">
      <c r="A50" s="41" t="s">
        <v>436</v>
      </c>
      <c r="B50" s="65" t="s">
        <v>437</v>
      </c>
      <c r="C50" s="42" t="s">
        <v>438</v>
      </c>
      <c r="D50" s="66" t="n">
        <f aca="false">SUMIFS(AHSP!$L$5:$L$3000,AHSP!$C$5:$C$3000,A50,AHSP!$J$5:$J$3000,"Bahan")</f>
        <v>1</v>
      </c>
      <c r="E50" s="41" t="s">
        <v>154</v>
      </c>
      <c r="F50" s="42" t="s">
        <v>154</v>
      </c>
      <c r="G50" s="62" t="n">
        <v>1</v>
      </c>
      <c r="H50" s="67" t="n">
        <f aca="false">MAX(0,ROUNDUP(D50/G50-0.0001,0))</f>
        <v>1</v>
      </c>
      <c r="I50" s="58" t="n">
        <v>1982500</v>
      </c>
      <c r="J50" s="68" t="n">
        <f aca="false">I50/G50</f>
        <v>1982500</v>
      </c>
      <c r="K50" s="46" t="n">
        <f aca="false">D50*J50</f>
        <v>1982500</v>
      </c>
      <c r="L50" s="69" t="s">
        <v>369</v>
      </c>
      <c r="M50" s="42" t="s">
        <v>439</v>
      </c>
      <c r="N50" s="48" t="s">
        <v>82</v>
      </c>
      <c r="O50" s="41" t="s">
        <v>303</v>
      </c>
      <c r="P50" s="42"/>
    </row>
    <row r="51" customFormat="false" ht="15" hidden="false" customHeight="true" outlineLevel="0" collapsed="false">
      <c r="A51" s="37" t="s">
        <v>440</v>
      </c>
      <c r="B51" s="25" t="s">
        <v>441</v>
      </c>
      <c r="C51" s="20"/>
      <c r="D51" s="61" t="n">
        <f aca="false">SUMIFS(AHSP!$L$5:$L$3000,AHSP!$C$5:$C$3000,A51,AHSP!$J$5:$J$3000,"Bahan")</f>
        <v>1</v>
      </c>
      <c r="E51" s="37" t="s">
        <v>181</v>
      </c>
      <c r="F51" s="20" t="s">
        <v>181</v>
      </c>
      <c r="G51" s="62" t="n">
        <v>1</v>
      </c>
      <c r="H51" s="63" t="n">
        <f aca="false">MAX(0,ROUNDUP(D51/G51-0.0001,0))</f>
        <v>1</v>
      </c>
      <c r="I51" s="58" t="n">
        <v>150000</v>
      </c>
      <c r="J51" s="64" t="n">
        <f aca="false">I51/G51</f>
        <v>150000</v>
      </c>
      <c r="K51" s="26" t="n">
        <f aca="false">D51*J51</f>
        <v>150000</v>
      </c>
      <c r="L51" s="37" t="s">
        <v>301</v>
      </c>
      <c r="M51" s="20" t="s">
        <v>340</v>
      </c>
      <c r="N51" s="47" t="s">
        <v>59</v>
      </c>
      <c r="O51" s="37" t="s">
        <v>303</v>
      </c>
      <c r="P51" s="20"/>
    </row>
    <row r="52" customFormat="false" ht="15" hidden="false" customHeight="true" outlineLevel="0" collapsed="false">
      <c r="A52" s="41" t="s">
        <v>442</v>
      </c>
      <c r="B52" s="65" t="s">
        <v>174</v>
      </c>
      <c r="C52" s="42" t="s">
        <v>419</v>
      </c>
      <c r="D52" s="66" t="n">
        <f aca="false">SUMIFS(AHSP!$L$5:$L$3000,AHSP!$C$5:$C$3000,A52,AHSP!$J$5:$J$3000,"Bahan")</f>
        <v>1</v>
      </c>
      <c r="E52" s="41" t="s">
        <v>175</v>
      </c>
      <c r="F52" s="42" t="s">
        <v>175</v>
      </c>
      <c r="G52" s="62" t="n">
        <v>1</v>
      </c>
      <c r="H52" s="67" t="n">
        <f aca="false">MAX(0,ROUNDUP(D52/G52-0.0001,0))</f>
        <v>1</v>
      </c>
      <c r="I52" s="58" t="n">
        <v>425000</v>
      </c>
      <c r="J52" s="68" t="n">
        <f aca="false">I52/G52</f>
        <v>425000</v>
      </c>
      <c r="K52" s="46" t="n">
        <f aca="false">D52*J52</f>
        <v>425000</v>
      </c>
      <c r="L52" s="41" t="s">
        <v>301</v>
      </c>
      <c r="M52" s="42" t="s">
        <v>340</v>
      </c>
      <c r="N52" s="47" t="s">
        <v>59</v>
      </c>
      <c r="O52" s="41" t="s">
        <v>303</v>
      </c>
      <c r="P52" s="42"/>
    </row>
    <row r="53" customFormat="false" ht="15" hidden="false" customHeight="true" outlineLevel="0" collapsed="false">
      <c r="A53" s="37" t="s">
        <v>443</v>
      </c>
      <c r="B53" s="25" t="s">
        <v>178</v>
      </c>
      <c r="C53" s="20" t="s">
        <v>419</v>
      </c>
      <c r="D53" s="61" t="n">
        <f aca="false">SUMIFS(AHSP!$L$5:$L$3000,AHSP!$C$5:$C$3000,A53,AHSP!$J$5:$J$3000,"Bahan")</f>
        <v>1</v>
      </c>
      <c r="E53" s="37" t="s">
        <v>154</v>
      </c>
      <c r="F53" s="20" t="s">
        <v>154</v>
      </c>
      <c r="G53" s="62" t="n">
        <v>1</v>
      </c>
      <c r="H53" s="63" t="n">
        <f aca="false">MAX(0,ROUNDUP(D53/G53-0.0001,0))</f>
        <v>1</v>
      </c>
      <c r="I53" s="58" t="n">
        <v>800000</v>
      </c>
      <c r="J53" s="64" t="n">
        <f aca="false">I53/G53</f>
        <v>800000</v>
      </c>
      <c r="K53" s="26" t="n">
        <f aca="false">D53*J53</f>
        <v>800000</v>
      </c>
      <c r="L53" s="37" t="s">
        <v>301</v>
      </c>
      <c r="M53" s="20" t="s">
        <v>340</v>
      </c>
      <c r="N53" s="47" t="s">
        <v>59</v>
      </c>
      <c r="O53" s="37" t="s">
        <v>303</v>
      </c>
      <c r="P53" s="20"/>
    </row>
    <row r="54" customFormat="false" ht="15" hidden="false" customHeight="true" outlineLevel="0" collapsed="false">
      <c r="A54" s="41" t="s">
        <v>444</v>
      </c>
      <c r="B54" s="65" t="s">
        <v>180</v>
      </c>
      <c r="C54" s="42"/>
      <c r="D54" s="66" t="n">
        <f aca="false">SUMIFS(AHSP!$L$5:$L$3000,AHSP!$C$5:$C$3000,A54,AHSP!$J$5:$J$3000,"Bahan")</f>
        <v>2</v>
      </c>
      <c r="E54" s="41" t="s">
        <v>181</v>
      </c>
      <c r="F54" s="42" t="s">
        <v>181</v>
      </c>
      <c r="G54" s="62" t="n">
        <v>1</v>
      </c>
      <c r="H54" s="67" t="n">
        <f aca="false">MAX(0,ROUNDUP(D54/G54-0.0001,0))</f>
        <v>2</v>
      </c>
      <c r="I54" s="58" t="n">
        <v>80000</v>
      </c>
      <c r="J54" s="68" t="n">
        <f aca="false">I54/G54</f>
        <v>80000</v>
      </c>
      <c r="K54" s="46" t="n">
        <f aca="false">D54*J54</f>
        <v>160000</v>
      </c>
      <c r="L54" s="41" t="s">
        <v>301</v>
      </c>
      <c r="M54" s="42" t="s">
        <v>340</v>
      </c>
      <c r="N54" s="47" t="s">
        <v>59</v>
      </c>
      <c r="O54" s="41" t="s">
        <v>303</v>
      </c>
      <c r="P54" s="42"/>
    </row>
    <row r="55" customFormat="false" ht="15" hidden="false" customHeight="true" outlineLevel="0" collapsed="false">
      <c r="A55" s="37" t="s">
        <v>445</v>
      </c>
      <c r="B55" s="25" t="s">
        <v>183</v>
      </c>
      <c r="C55" s="20"/>
      <c r="D55" s="61" t="n">
        <f aca="false">SUMIFS(AHSP!$L$5:$L$3000,AHSP!$C$5:$C$3000,A55,AHSP!$J$5:$J$3000,"Bahan")</f>
        <v>4</v>
      </c>
      <c r="E55" s="37" t="s">
        <v>181</v>
      </c>
      <c r="F55" s="20" t="s">
        <v>181</v>
      </c>
      <c r="G55" s="62" t="n">
        <v>1</v>
      </c>
      <c r="H55" s="63" t="n">
        <f aca="false">MAX(0,ROUNDUP(D55/G55-0.0001,0))</f>
        <v>4</v>
      </c>
      <c r="I55" s="58" t="n">
        <v>110000</v>
      </c>
      <c r="J55" s="64" t="n">
        <f aca="false">I55/G55</f>
        <v>110000</v>
      </c>
      <c r="K55" s="26" t="n">
        <f aca="false">D55*J55</f>
        <v>440000</v>
      </c>
      <c r="L55" s="37" t="s">
        <v>301</v>
      </c>
      <c r="M55" s="20" t="s">
        <v>340</v>
      </c>
      <c r="N55" s="47" t="s">
        <v>59</v>
      </c>
      <c r="O55" s="37" t="s">
        <v>303</v>
      </c>
      <c r="P55" s="20"/>
    </row>
    <row r="56" customFormat="false" ht="15" hidden="false" customHeight="true" outlineLevel="0" collapsed="false">
      <c r="A56" s="41" t="s">
        <v>446</v>
      </c>
      <c r="B56" s="65" t="s">
        <v>191</v>
      </c>
      <c r="C56" s="42"/>
      <c r="D56" s="66" t="n">
        <f aca="false">SUMIFS(AHSP!$L$5:$L$3000,AHSP!$C$5:$C$3000,A56,AHSP!$J$5:$J$3000,"Bahan")</f>
        <v>1</v>
      </c>
      <c r="E56" s="41" t="s">
        <v>154</v>
      </c>
      <c r="F56" s="42" t="s">
        <v>154</v>
      </c>
      <c r="G56" s="62" t="n">
        <v>1</v>
      </c>
      <c r="H56" s="67" t="n">
        <f aca="false">MAX(0,ROUNDUP(D56/G56-0.0001,0))</f>
        <v>1</v>
      </c>
      <c r="I56" s="58" t="n">
        <v>2300000</v>
      </c>
      <c r="J56" s="68" t="n">
        <f aca="false">I56/G56</f>
        <v>2300000</v>
      </c>
      <c r="K56" s="46" t="n">
        <f aca="false">D56*J56</f>
        <v>2300000</v>
      </c>
      <c r="L56" s="41" t="s">
        <v>301</v>
      </c>
      <c r="M56" s="42" t="s">
        <v>340</v>
      </c>
      <c r="N56" s="47" t="s">
        <v>59</v>
      </c>
      <c r="O56" s="41" t="s">
        <v>303</v>
      </c>
      <c r="P56" s="42"/>
    </row>
    <row r="57" customFormat="false" ht="15" hidden="false" customHeight="true" outlineLevel="0" collapsed="false">
      <c r="A57" s="37" t="s">
        <v>447</v>
      </c>
      <c r="B57" s="25" t="s">
        <v>193</v>
      </c>
      <c r="C57" s="20"/>
      <c r="D57" s="61" t="n">
        <f aca="false">SUMIFS(AHSP!$L$5:$L$3000,AHSP!$C$5:$C$3000,A57,AHSP!$J$5:$J$3000,"Bahan")</f>
        <v>1</v>
      </c>
      <c r="E57" s="37" t="s">
        <v>154</v>
      </c>
      <c r="F57" s="20" t="s">
        <v>154</v>
      </c>
      <c r="G57" s="62" t="n">
        <v>1</v>
      </c>
      <c r="H57" s="63" t="n">
        <f aca="false">MAX(0,ROUNDUP(D57/G57-0.0001,0))</f>
        <v>1</v>
      </c>
      <c r="I57" s="58" t="n">
        <v>800000</v>
      </c>
      <c r="J57" s="64" t="n">
        <f aca="false">I57/G57</f>
        <v>800000</v>
      </c>
      <c r="K57" s="26" t="n">
        <f aca="false">D57*J57</f>
        <v>800000</v>
      </c>
      <c r="L57" s="37" t="s">
        <v>301</v>
      </c>
      <c r="M57" s="20" t="s">
        <v>340</v>
      </c>
      <c r="N57" s="47" t="s">
        <v>59</v>
      </c>
      <c r="O57" s="37" t="s">
        <v>303</v>
      </c>
      <c r="P57" s="20"/>
    </row>
    <row r="58" customFormat="false" ht="23.25" hidden="false" customHeight="true" outlineLevel="0" collapsed="false">
      <c r="A58" s="41" t="s">
        <v>448</v>
      </c>
      <c r="B58" s="65" t="s">
        <v>449</v>
      </c>
      <c r="C58" s="42" t="s">
        <v>450</v>
      </c>
      <c r="D58" s="66" t="n">
        <f aca="false">SUMIFS(AHSP!$L$5:$L$3000,AHSP!$C$5:$C$3000,A58,AHSP!$J$5:$J$3000,"Bahan")</f>
        <v>1</v>
      </c>
      <c r="E58" s="41" t="s">
        <v>451</v>
      </c>
      <c r="F58" s="42" t="s">
        <v>451</v>
      </c>
      <c r="G58" s="62" t="n">
        <v>1</v>
      </c>
      <c r="H58" s="67" t="n">
        <f aca="false">MAX(0,ROUNDUP(D58/G58-0.0001,0))</f>
        <v>1</v>
      </c>
      <c r="I58" s="58" t="n">
        <v>2500000</v>
      </c>
      <c r="J58" s="68" t="n">
        <f aca="false">I58/G58</f>
        <v>2500000</v>
      </c>
      <c r="K58" s="46" t="n">
        <f aca="false">D58*J58</f>
        <v>2500000</v>
      </c>
      <c r="L58" s="41" t="s">
        <v>301</v>
      </c>
      <c r="M58" s="42" t="s">
        <v>340</v>
      </c>
      <c r="N58" s="47" t="s">
        <v>59</v>
      </c>
      <c r="O58" s="41" t="s">
        <v>303</v>
      </c>
      <c r="P58" s="42"/>
    </row>
    <row r="59" customFormat="false" ht="15" hidden="false" customHeight="true" outlineLevel="0" collapsed="false">
      <c r="A59" s="37" t="s">
        <v>452</v>
      </c>
      <c r="B59" s="25" t="s">
        <v>453</v>
      </c>
      <c r="C59" s="20"/>
      <c r="D59" s="61" t="n">
        <f aca="false">SUMIFS(AHSP!$L$5:$L$3000,AHSP!$C$5:$C$3000,A59,AHSP!$J$5:$J$3000,"Bahan")</f>
        <v>1</v>
      </c>
      <c r="E59" s="37" t="s">
        <v>175</v>
      </c>
      <c r="F59" s="20" t="s">
        <v>175</v>
      </c>
      <c r="G59" s="62" t="n">
        <v>1</v>
      </c>
      <c r="H59" s="63" t="n">
        <f aca="false">MAX(0,ROUNDUP(D59/G59-0.0001,0))</f>
        <v>1</v>
      </c>
      <c r="I59" s="58" t="n">
        <v>900000</v>
      </c>
      <c r="J59" s="64" t="n">
        <f aca="false">I59/G59</f>
        <v>900000</v>
      </c>
      <c r="K59" s="26" t="n">
        <f aca="false">D59*J59</f>
        <v>900000</v>
      </c>
      <c r="L59" s="37" t="s">
        <v>301</v>
      </c>
      <c r="M59" s="20" t="s">
        <v>340</v>
      </c>
      <c r="N59" s="47" t="s">
        <v>59</v>
      </c>
      <c r="O59" s="37" t="s">
        <v>303</v>
      </c>
      <c r="P59" s="20"/>
    </row>
    <row r="60" customFormat="false" ht="15" hidden="false" customHeight="true" outlineLevel="0" collapsed="false">
      <c r="A60" s="41" t="s">
        <v>454</v>
      </c>
      <c r="B60" s="65" t="s">
        <v>455</v>
      </c>
      <c r="C60" s="42" t="s">
        <v>456</v>
      </c>
      <c r="D60" s="66" t="n">
        <f aca="false">SUMIFS(AHSP!$L$5:$L$3000,AHSP!$C$5:$C$3000,A60,AHSP!$J$5:$J$3000,"Bahan")</f>
        <v>36</v>
      </c>
      <c r="E60" s="41" t="s">
        <v>81</v>
      </c>
      <c r="F60" s="42" t="s">
        <v>81</v>
      </c>
      <c r="G60" s="62" t="n">
        <v>1</v>
      </c>
      <c r="H60" s="67" t="n">
        <f aca="false">MAX(0,ROUNDUP(D60/G60-0.0001,0))</f>
        <v>36</v>
      </c>
      <c r="I60" s="58" t="n">
        <v>3000</v>
      </c>
      <c r="J60" s="68" t="n">
        <f aca="false">I60/G60</f>
        <v>3000</v>
      </c>
      <c r="K60" s="46" t="n">
        <f aca="false">D60*J60</f>
        <v>108000</v>
      </c>
      <c r="L60" s="41" t="s">
        <v>301</v>
      </c>
      <c r="M60" s="42" t="s">
        <v>340</v>
      </c>
      <c r="N60" s="47" t="s">
        <v>59</v>
      </c>
      <c r="O60" s="41" t="s">
        <v>303</v>
      </c>
      <c r="P60" s="42"/>
    </row>
    <row r="61" customFormat="false" ht="15" hidden="false" customHeight="true" outlineLevel="0" collapsed="false">
      <c r="A61" s="37" t="s">
        <v>457</v>
      </c>
      <c r="B61" s="25" t="s">
        <v>88</v>
      </c>
      <c r="C61" s="20"/>
      <c r="D61" s="61" t="n">
        <f aca="false">SUMIFS(AHSP!$L$5:$L$3000,AHSP!$C$5:$C$3000,A61,AHSP!$J$5:$J$3000,"Bahan")</f>
        <v>1</v>
      </c>
      <c r="E61" s="37" t="s">
        <v>458</v>
      </c>
      <c r="F61" s="20" t="s">
        <v>458</v>
      </c>
      <c r="G61" s="62" t="n">
        <v>1</v>
      </c>
      <c r="H61" s="63" t="n">
        <f aca="false">MAX(0,ROUNDUP(D61/G61-0.0001,0))</f>
        <v>1</v>
      </c>
      <c r="I61" s="58" t="n">
        <v>1500000</v>
      </c>
      <c r="J61" s="64" t="n">
        <f aca="false">I61/G61</f>
        <v>1500000</v>
      </c>
      <c r="K61" s="26" t="n">
        <f aca="false">D61*J61</f>
        <v>1500000</v>
      </c>
      <c r="L61" s="37" t="s">
        <v>301</v>
      </c>
      <c r="M61" s="20" t="s">
        <v>340</v>
      </c>
      <c r="N61" s="47" t="s">
        <v>59</v>
      </c>
      <c r="O61" s="37" t="s">
        <v>303</v>
      </c>
      <c r="P61" s="20"/>
    </row>
    <row r="62" customFormat="false" ht="15" hidden="false" customHeight="true" outlineLevel="0" collapsed="false">
      <c r="A62" s="51"/>
      <c r="B62" s="52" t="s">
        <v>459</v>
      </c>
      <c r="C62" s="51"/>
      <c r="D62" s="51"/>
      <c r="E62" s="51"/>
      <c r="F62" s="51"/>
      <c r="G62" s="51"/>
      <c r="H62" s="51"/>
      <c r="I62" s="51"/>
      <c r="J62" s="51"/>
      <c r="K62" s="53" t="n">
        <f aca="false">SUM(K5:K61)</f>
        <v>94881460.2276705</v>
      </c>
      <c r="L62" s="51"/>
      <c r="M62" s="51"/>
      <c r="N62" s="51"/>
      <c r="O62" s="51"/>
      <c r="P62" s="51"/>
    </row>
    <row r="63" customFormat="false" ht="23.25" hidden="false" customHeight="true" outlineLevel="0" collapsed="false">
      <c r="A63" s="24"/>
      <c r="B63" s="20" t="s">
        <v>460</v>
      </c>
      <c r="C63" s="24"/>
      <c r="D63" s="24"/>
      <c r="E63" s="24"/>
      <c r="F63" s="24"/>
      <c r="G63" s="24"/>
      <c r="H63" s="24"/>
      <c r="I63" s="24"/>
      <c r="J63" s="24"/>
      <c r="K63" s="21" t="n">
        <f aca="false">SUMIF(O5:O61,"Ya",K5:K61)</f>
        <v>13555583.0640062</v>
      </c>
      <c r="L63" s="24"/>
      <c r="M63" s="24"/>
      <c r="N63" s="24"/>
      <c r="O63" s="24"/>
      <c r="P63" s="24"/>
    </row>
    <row r="65" customFormat="false" ht="15" hidden="false" customHeight="true" outlineLevel="0" collapsed="false">
      <c r="A65" s="35" t="s">
        <v>461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customFormat="false" ht="46.5" hidden="false" customHeight="true" outlineLevel="0" collapsed="false">
      <c r="A66" s="5" t="s">
        <v>281</v>
      </c>
      <c r="B66" s="5" t="s">
        <v>65</v>
      </c>
      <c r="C66" s="5"/>
      <c r="D66" s="5" t="s">
        <v>66</v>
      </c>
      <c r="E66" s="5" t="s">
        <v>285</v>
      </c>
      <c r="F66" s="5"/>
      <c r="G66" s="5"/>
      <c r="H66" s="5"/>
      <c r="I66" s="5" t="s">
        <v>462</v>
      </c>
      <c r="J66" s="5"/>
      <c r="K66" s="5" t="s">
        <v>291</v>
      </c>
      <c r="L66" s="5" t="s">
        <v>292</v>
      </c>
      <c r="M66" s="5" t="s">
        <v>293</v>
      </c>
      <c r="N66" s="5" t="s">
        <v>75</v>
      </c>
      <c r="O66" s="5"/>
      <c r="P66" s="5"/>
    </row>
    <row r="67" customFormat="false" ht="23.25" hidden="false" customHeight="true" outlineLevel="0" collapsed="false">
      <c r="A67" s="37" t="s">
        <v>463</v>
      </c>
      <c r="B67" s="25" t="s">
        <v>125</v>
      </c>
      <c r="C67" s="24"/>
      <c r="D67" s="71" t="n">
        <f aca="false">AHSP!$K$270</f>
        <v>59.8596759095804</v>
      </c>
      <c r="E67" s="37" t="s">
        <v>81</v>
      </c>
      <c r="F67" s="24"/>
      <c r="G67" s="24"/>
      <c r="H67" s="24"/>
      <c r="I67" s="58" t="n">
        <v>201600</v>
      </c>
      <c r="J67" s="24"/>
      <c r="K67" s="26" t="n">
        <f aca="false">D67*I67</f>
        <v>12067710.6633714</v>
      </c>
      <c r="L67" s="37" t="s">
        <v>301</v>
      </c>
      <c r="M67" s="20" t="s">
        <v>464</v>
      </c>
      <c r="N67" s="40" t="s">
        <v>82</v>
      </c>
      <c r="O67" s="24"/>
      <c r="P67" s="24"/>
    </row>
    <row r="68" customFormat="false" ht="15" hidden="false" customHeight="true" outlineLevel="0" collapsed="false">
      <c r="A68" s="41" t="s">
        <v>465</v>
      </c>
      <c r="B68" s="65" t="s">
        <v>133</v>
      </c>
      <c r="C68" s="54"/>
      <c r="D68" s="72" t="n">
        <f aca="false">AHSP!$K$305</f>
        <v>31.0276877526612</v>
      </c>
      <c r="E68" s="41" t="s">
        <v>131</v>
      </c>
      <c r="F68" s="54"/>
      <c r="G68" s="54"/>
      <c r="H68" s="54"/>
      <c r="I68" s="58" t="n">
        <v>90000</v>
      </c>
      <c r="J68" s="54"/>
      <c r="K68" s="46" t="n">
        <f aca="false">D68*I68</f>
        <v>2792491.89773951</v>
      </c>
      <c r="L68" s="41" t="s">
        <v>301</v>
      </c>
      <c r="M68" s="42" t="s">
        <v>466</v>
      </c>
      <c r="N68" s="47" t="s">
        <v>59</v>
      </c>
      <c r="O68" s="54"/>
      <c r="P68" s="54"/>
    </row>
    <row r="69" customFormat="false" ht="23.25" hidden="false" customHeight="true" outlineLevel="0" collapsed="false">
      <c r="A69" s="37" t="s">
        <v>467</v>
      </c>
      <c r="B69" s="25" t="s">
        <v>153</v>
      </c>
      <c r="C69" s="24"/>
      <c r="D69" s="71" t="n">
        <f aca="false">AHSP!$K$402</f>
        <v>1</v>
      </c>
      <c r="E69" s="37" t="s">
        <v>154</v>
      </c>
      <c r="F69" s="24"/>
      <c r="G69" s="24"/>
      <c r="H69" s="24"/>
      <c r="I69" s="58" t="n">
        <v>2796200</v>
      </c>
      <c r="J69" s="24"/>
      <c r="K69" s="26" t="n">
        <f aca="false">D69*I69</f>
        <v>2796200</v>
      </c>
      <c r="L69" s="70" t="s">
        <v>369</v>
      </c>
      <c r="M69" s="20" t="s">
        <v>468</v>
      </c>
      <c r="N69" s="40" t="s">
        <v>82</v>
      </c>
      <c r="O69" s="24"/>
      <c r="P69" s="24"/>
    </row>
    <row r="70" customFormat="false" ht="15" hidden="false" customHeight="true" outlineLevel="0" collapsed="false">
      <c r="A70" s="41" t="s">
        <v>469</v>
      </c>
      <c r="B70" s="65" t="s">
        <v>160</v>
      </c>
      <c r="C70" s="54"/>
      <c r="D70" s="72" t="n">
        <f aca="false">AHSP!$K$437</f>
        <v>5.76</v>
      </c>
      <c r="E70" s="41" t="s">
        <v>81</v>
      </c>
      <c r="F70" s="54"/>
      <c r="G70" s="54"/>
      <c r="H70" s="54"/>
      <c r="I70" s="58" t="n">
        <v>1547000</v>
      </c>
      <c r="J70" s="54"/>
      <c r="K70" s="46" t="n">
        <f aca="false">D70*I70</f>
        <v>8910720</v>
      </c>
      <c r="L70" s="69" t="s">
        <v>369</v>
      </c>
      <c r="M70" s="42" t="s">
        <v>470</v>
      </c>
      <c r="N70" s="48" t="s">
        <v>82</v>
      </c>
      <c r="O70" s="54"/>
      <c r="P70" s="54"/>
    </row>
    <row r="71" customFormat="false" ht="15" hidden="false" customHeight="true" outlineLevel="0" collapsed="false">
      <c r="A71" s="37" t="s">
        <v>471</v>
      </c>
      <c r="B71" s="25" t="s">
        <v>162</v>
      </c>
      <c r="C71" s="24"/>
      <c r="D71" s="71" t="n">
        <f aca="false">AHSP!$K$446</f>
        <v>0.2</v>
      </c>
      <c r="E71" s="37" t="s">
        <v>81</v>
      </c>
      <c r="F71" s="24"/>
      <c r="G71" s="24"/>
      <c r="H71" s="24"/>
      <c r="I71" s="58" t="n">
        <v>950000</v>
      </c>
      <c r="J71" s="24"/>
      <c r="K71" s="26" t="n">
        <f aca="false">D71*I71</f>
        <v>190000</v>
      </c>
      <c r="L71" s="37" t="s">
        <v>301</v>
      </c>
      <c r="M71" s="20" t="s">
        <v>472</v>
      </c>
      <c r="N71" s="47" t="s">
        <v>59</v>
      </c>
      <c r="O71" s="24"/>
      <c r="P71" s="24"/>
    </row>
    <row r="72" customFormat="false" ht="15" hidden="false" customHeight="true" outlineLevel="0" collapsed="false">
      <c r="A72" s="41" t="s">
        <v>473</v>
      </c>
      <c r="B72" s="65" t="s">
        <v>195</v>
      </c>
      <c r="C72" s="54"/>
      <c r="D72" s="72" t="n">
        <f aca="false">AHSP!$K$612</f>
        <v>1</v>
      </c>
      <c r="E72" s="41" t="s">
        <v>154</v>
      </c>
      <c r="F72" s="54"/>
      <c r="G72" s="54"/>
      <c r="H72" s="54"/>
      <c r="I72" s="58" t="n">
        <v>3762900</v>
      </c>
      <c r="J72" s="54"/>
      <c r="K72" s="46" t="n">
        <f aca="false">D72*I72</f>
        <v>3762900</v>
      </c>
      <c r="L72" s="41" t="s">
        <v>301</v>
      </c>
      <c r="M72" s="42" t="s">
        <v>474</v>
      </c>
      <c r="N72" s="48" t="s">
        <v>82</v>
      </c>
      <c r="O72" s="54"/>
      <c r="P72" s="54"/>
    </row>
    <row r="73" customFormat="false" ht="15" hidden="false" customHeight="true" outlineLevel="0" collapsed="false">
      <c r="A73" s="37" t="s">
        <v>475</v>
      </c>
      <c r="B73" s="25" t="s">
        <v>214</v>
      </c>
      <c r="C73" s="24"/>
      <c r="D73" s="71" t="n">
        <f aca="false">AHSP!$K$694</f>
        <v>15</v>
      </c>
      <c r="E73" s="37" t="s">
        <v>81</v>
      </c>
      <c r="F73" s="24"/>
      <c r="G73" s="24"/>
      <c r="H73" s="24"/>
      <c r="I73" s="58" t="n">
        <v>600000</v>
      </c>
      <c r="J73" s="24"/>
      <c r="K73" s="26" t="n">
        <f aca="false">D73*I73</f>
        <v>9000000</v>
      </c>
      <c r="L73" s="37" t="s">
        <v>301</v>
      </c>
      <c r="M73" s="20" t="s">
        <v>476</v>
      </c>
      <c r="N73" s="40" t="s">
        <v>82</v>
      </c>
      <c r="O73" s="24"/>
      <c r="P73" s="24"/>
    </row>
    <row r="74" customFormat="false" ht="15" hidden="false" customHeight="true" outlineLevel="0" collapsed="false">
      <c r="A74" s="41" t="s">
        <v>477</v>
      </c>
      <c r="B74" s="65" t="s">
        <v>218</v>
      </c>
      <c r="C74" s="54"/>
      <c r="D74" s="72" t="n">
        <f aca="false">AHSP!$K$723</f>
        <v>3.6</v>
      </c>
      <c r="E74" s="41" t="s">
        <v>81</v>
      </c>
      <c r="F74" s="54"/>
      <c r="G74" s="54"/>
      <c r="H74" s="54"/>
      <c r="I74" s="58" t="n">
        <v>895900</v>
      </c>
      <c r="J74" s="54"/>
      <c r="K74" s="46" t="n">
        <f aca="false">D74*I74</f>
        <v>3225240</v>
      </c>
      <c r="L74" s="41" t="s">
        <v>301</v>
      </c>
      <c r="M74" s="42" t="s">
        <v>474</v>
      </c>
      <c r="N74" s="48" t="s">
        <v>82</v>
      </c>
      <c r="O74" s="54"/>
      <c r="P74" s="54"/>
    </row>
    <row r="75" customFormat="false" ht="15" hidden="false" customHeight="true" outlineLevel="0" collapsed="false">
      <c r="A75" s="37" t="s">
        <v>478</v>
      </c>
      <c r="B75" s="25" t="s">
        <v>220</v>
      </c>
      <c r="C75" s="24"/>
      <c r="D75" s="71" t="n">
        <f aca="false">AHSP!$K$732</f>
        <v>5.4</v>
      </c>
      <c r="E75" s="37" t="s">
        <v>81</v>
      </c>
      <c r="F75" s="24"/>
      <c r="G75" s="24"/>
      <c r="H75" s="24"/>
      <c r="I75" s="58" t="n">
        <v>1650000</v>
      </c>
      <c r="J75" s="24"/>
      <c r="K75" s="26" t="n">
        <f aca="false">D75*I75</f>
        <v>8910000</v>
      </c>
      <c r="L75" s="37" t="s">
        <v>301</v>
      </c>
      <c r="M75" s="20" t="s">
        <v>479</v>
      </c>
      <c r="N75" s="47" t="s">
        <v>59</v>
      </c>
      <c r="O75" s="24"/>
      <c r="P75" s="24"/>
    </row>
    <row r="76" customFormat="false" ht="15" hidden="false" customHeight="true" outlineLevel="0" collapsed="false">
      <c r="A76" s="41" t="s">
        <v>480</v>
      </c>
      <c r="B76" s="65" t="s">
        <v>222</v>
      </c>
      <c r="C76" s="54"/>
      <c r="D76" s="72" t="n">
        <f aca="false">AHSP!$K$741</f>
        <v>1</v>
      </c>
      <c r="E76" s="41" t="s">
        <v>175</v>
      </c>
      <c r="F76" s="54"/>
      <c r="G76" s="54"/>
      <c r="H76" s="54"/>
      <c r="I76" s="58" t="n">
        <v>650000</v>
      </c>
      <c r="J76" s="54"/>
      <c r="K76" s="46" t="n">
        <f aca="false">D76*I76</f>
        <v>650000</v>
      </c>
      <c r="L76" s="41" t="s">
        <v>301</v>
      </c>
      <c r="M76" s="42" t="s">
        <v>481</v>
      </c>
      <c r="N76" s="47" t="s">
        <v>59</v>
      </c>
      <c r="O76" s="54"/>
      <c r="P76" s="54"/>
    </row>
    <row r="77" customFormat="false" ht="23.25" hidden="false" customHeight="true" outlineLevel="0" collapsed="false">
      <c r="A77" s="51"/>
      <c r="B77" s="52" t="s">
        <v>482</v>
      </c>
      <c r="C77" s="51"/>
      <c r="D77" s="51"/>
      <c r="E77" s="51"/>
      <c r="F77" s="51"/>
      <c r="G77" s="51"/>
      <c r="H77" s="51"/>
      <c r="I77" s="51"/>
      <c r="J77" s="51"/>
      <c r="K77" s="53" t="n">
        <f aca="false">SUM(K67:K76)</f>
        <v>52305262.5611109</v>
      </c>
      <c r="L77" s="51"/>
      <c r="M77" s="51"/>
      <c r="N77" s="51"/>
      <c r="O77" s="51"/>
      <c r="P77" s="51"/>
    </row>
  </sheetData>
  <hyperlinks>
    <hyperlink ref="L26" r:id="rId1" display="buka toko"/>
    <hyperlink ref="L28" r:id="rId2" display="buka toko"/>
    <hyperlink ref="L29" r:id="rId3" display="buka toko"/>
    <hyperlink ref="L33" r:id="rId4" display="buka toko"/>
    <hyperlink ref="L34" r:id="rId5" display="buka toko"/>
    <hyperlink ref="L35" r:id="rId6" display="buka toko"/>
    <hyperlink ref="L47" r:id="rId7" display="buka toko"/>
    <hyperlink ref="L48" r:id="rId8" display="buka toko"/>
    <hyperlink ref="L49" r:id="rId9" display="buka toko"/>
    <hyperlink ref="L50" r:id="rId10" display="buka toko"/>
    <hyperlink ref="L69" r:id="rId11" display="buka toko"/>
    <hyperlink ref="L70" r:id="rId12" display="buka toko"/>
  </hyperlinks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16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"/>
    <col collapsed="false" customWidth="true" hidden="false" outlineLevel="0" max="4" min="3" style="0" width="16"/>
    <col collapsed="false" customWidth="true" hidden="false" outlineLevel="0" max="5" min="5" style="0" width="16.3"/>
  </cols>
  <sheetData>
    <row r="1" customFormat="false" ht="25.5" hidden="false" customHeight="true" outlineLevel="0" collapsed="false">
      <c r="A1" s="2" t="s">
        <v>483</v>
      </c>
    </row>
    <row r="2" customFormat="false" ht="18" hidden="false" customHeight="true" outlineLevel="0" collapsed="false">
      <c r="A2" s="3" t="s">
        <v>484</v>
      </c>
    </row>
    <row r="4" customFormat="false" ht="30" hidden="false" customHeight="true" outlineLevel="0" collapsed="false">
      <c r="A4" s="5" t="s">
        <v>485</v>
      </c>
      <c r="B4" s="5" t="s">
        <v>281</v>
      </c>
      <c r="C4" s="5" t="s">
        <v>486</v>
      </c>
      <c r="D4" s="5" t="s">
        <v>74</v>
      </c>
    </row>
    <row r="5" customFormat="false" ht="15" hidden="false" customHeight="true" outlineLevel="0" collapsed="false">
      <c r="A5" s="25" t="s">
        <v>487</v>
      </c>
      <c r="B5" s="37" t="s">
        <v>488</v>
      </c>
      <c r="C5" s="58" t="n">
        <v>130500</v>
      </c>
      <c r="D5" s="20" t="s">
        <v>489</v>
      </c>
    </row>
    <row r="6" customFormat="false" ht="15" hidden="false" customHeight="true" outlineLevel="0" collapsed="false">
      <c r="A6" s="65" t="s">
        <v>490</v>
      </c>
      <c r="B6" s="41" t="s">
        <v>491</v>
      </c>
      <c r="C6" s="58" t="n">
        <v>175300</v>
      </c>
      <c r="D6" s="42" t="s">
        <v>489</v>
      </c>
    </row>
    <row r="7" customFormat="false" ht="15" hidden="false" customHeight="true" outlineLevel="0" collapsed="false">
      <c r="A7" s="25" t="s">
        <v>492</v>
      </c>
      <c r="B7" s="37" t="s">
        <v>493</v>
      </c>
      <c r="C7" s="58" t="n">
        <v>174700</v>
      </c>
      <c r="D7" s="20" t="s">
        <v>489</v>
      </c>
    </row>
    <row r="8" customFormat="false" ht="15" hidden="false" customHeight="true" outlineLevel="0" collapsed="false">
      <c r="A8" s="65" t="s">
        <v>494</v>
      </c>
      <c r="B8" s="41" t="s">
        <v>495</v>
      </c>
      <c r="C8" s="58" t="n">
        <v>174700</v>
      </c>
      <c r="D8" s="42" t="s">
        <v>489</v>
      </c>
    </row>
    <row r="9" customFormat="false" ht="15" hidden="false" customHeight="true" outlineLevel="0" collapsed="false">
      <c r="A9" s="25" t="s">
        <v>496</v>
      </c>
      <c r="B9" s="37" t="s">
        <v>497</v>
      </c>
      <c r="C9" s="58" t="n">
        <v>165000</v>
      </c>
      <c r="D9" s="20" t="s">
        <v>489</v>
      </c>
    </row>
    <row r="10" customFormat="false" ht="15" hidden="false" customHeight="true" outlineLevel="0" collapsed="false">
      <c r="A10" s="65" t="s">
        <v>498</v>
      </c>
      <c r="B10" s="41" t="s">
        <v>499</v>
      </c>
      <c r="C10" s="58" t="n">
        <v>182800</v>
      </c>
      <c r="D10" s="42" t="s">
        <v>489</v>
      </c>
    </row>
    <row r="11" customFormat="false" ht="15" hidden="false" customHeight="true" outlineLevel="0" collapsed="false">
      <c r="A11" s="25" t="s">
        <v>500</v>
      </c>
      <c r="B11" s="37" t="s">
        <v>501</v>
      </c>
      <c r="C11" s="58" t="n">
        <v>184400</v>
      </c>
      <c r="D11" s="20" t="s">
        <v>489</v>
      </c>
    </row>
    <row r="12" customFormat="false" ht="15" hidden="false" customHeight="true" outlineLevel="0" collapsed="false">
      <c r="A12" s="65" t="s">
        <v>502</v>
      </c>
      <c r="B12" s="41" t="s">
        <v>503</v>
      </c>
      <c r="C12" s="58" t="n">
        <v>198900</v>
      </c>
      <c r="D12" s="42" t="s">
        <v>489</v>
      </c>
    </row>
    <row r="13" customFormat="false" ht="15" hidden="false" customHeight="true" outlineLevel="0" collapsed="false">
      <c r="A13" s="25" t="s">
        <v>504</v>
      </c>
      <c r="B13" s="37" t="s">
        <v>505</v>
      </c>
      <c r="C13" s="58" t="n">
        <v>228300</v>
      </c>
      <c r="D13" s="20" t="s">
        <v>489</v>
      </c>
    </row>
    <row r="14" customFormat="false" ht="15" hidden="false" customHeight="true" outlineLevel="0" collapsed="false">
      <c r="A14" s="59" t="s">
        <v>506</v>
      </c>
    </row>
    <row r="16" customFormat="false" ht="15" hidden="false" customHeight="true" outlineLevel="0" collapsed="false">
      <c r="A16" s="27" t="s">
        <v>507</v>
      </c>
    </row>
    <row r="17" customFormat="false" ht="15" hidden="false" customHeight="true" outlineLevel="0" collapsed="false">
      <c r="A17" s="73" t="s">
        <v>508</v>
      </c>
    </row>
    <row r="18" customFormat="false" ht="33.75" hidden="false" customHeight="true" outlineLevel="0" collapsed="false">
      <c r="A18" s="5" t="s">
        <v>509</v>
      </c>
      <c r="B18" s="5" t="s">
        <v>281</v>
      </c>
      <c r="C18" s="5" t="s">
        <v>510</v>
      </c>
      <c r="D18" s="5" t="s">
        <v>486</v>
      </c>
      <c r="E18" s="5" t="s">
        <v>511</v>
      </c>
    </row>
    <row r="19" customFormat="false" ht="15" hidden="false" customHeight="true" outlineLevel="0" collapsed="false">
      <c r="A19" s="35" t="s">
        <v>30</v>
      </c>
      <c r="B19" s="35"/>
      <c r="C19" s="74" t="n">
        <f aca="false">SUM(C20:C28)</f>
        <v>18.6</v>
      </c>
      <c r="D19" s="35"/>
      <c r="E19" s="36" t="n">
        <f aca="false">SUM(E20:E28)</f>
        <v>2506860</v>
      </c>
    </row>
    <row r="20" customFormat="false" ht="15" hidden="false" customHeight="true" outlineLevel="0" collapsed="false">
      <c r="A20" s="20" t="s">
        <v>512</v>
      </c>
      <c r="B20" s="37" t="s">
        <v>488</v>
      </c>
      <c r="C20" s="75" t="n">
        <f aca="false">SUMIFS(AHSP!$L$5:$L$3000,AHSP!$I$5:$I$3000,"I",AHSP!$C$5:$C$3000,B20,AHSP!$J$5:$J$3000,"Upah")</f>
        <v>16.8</v>
      </c>
      <c r="D20" s="21" t="n">
        <f aca="false">INDEX('Perhitungan Upah'!$C$5:$C$13,MATCH(B20,'Perhitungan Upah'!$B$5:$B$13,0))</f>
        <v>130500</v>
      </c>
      <c r="E20" s="26" t="n">
        <f aca="false">C20*D20</f>
        <v>2192400</v>
      </c>
    </row>
    <row r="21" customFormat="false" ht="15" hidden="true" customHeight="true" outlineLevel="0" collapsed="false">
      <c r="A21" s="42" t="s">
        <v>513</v>
      </c>
      <c r="B21" s="41" t="s">
        <v>491</v>
      </c>
      <c r="C21" s="76" t="n">
        <f aca="false">SUMIFS(AHSP!$L$5:$L$3000,AHSP!$I$5:$I$3000,"I",AHSP!$C$5:$C$3000,B21,AHSP!$J$5:$J$3000,"Upah")</f>
        <v>0</v>
      </c>
      <c r="D21" s="45" t="n">
        <f aca="false">INDEX('Perhitungan Upah'!$C$5:$C$13,MATCH(B21,'Perhitungan Upah'!$B$5:$B$13,0))</f>
        <v>175300</v>
      </c>
      <c r="E21" s="46" t="n">
        <f aca="false">C21*D21</f>
        <v>0</v>
      </c>
    </row>
    <row r="22" customFormat="false" ht="15" hidden="false" customHeight="true" outlineLevel="0" collapsed="false">
      <c r="A22" s="20" t="s">
        <v>514</v>
      </c>
      <c r="B22" s="37" t="s">
        <v>493</v>
      </c>
      <c r="C22" s="75" t="n">
        <f aca="false">SUMIFS(AHSP!$L$5:$L$3000,AHSP!$I$5:$I$3000,"I",AHSP!$C$5:$C$3000,B22,AHSP!$J$5:$J$3000,"Upah")</f>
        <v>1.8</v>
      </c>
      <c r="D22" s="21" t="n">
        <f aca="false">INDEX('Perhitungan Upah'!$C$5:$C$13,MATCH(B22,'Perhitungan Upah'!$B$5:$B$13,0))</f>
        <v>174700</v>
      </c>
      <c r="E22" s="26" t="n">
        <f aca="false">C22*D22</f>
        <v>314460</v>
      </c>
    </row>
    <row r="23" customFormat="false" ht="15" hidden="true" customHeight="true" outlineLevel="0" collapsed="false">
      <c r="A23" s="42" t="s">
        <v>515</v>
      </c>
      <c r="B23" s="41" t="s">
        <v>495</v>
      </c>
      <c r="C23" s="76" t="n">
        <f aca="false">SUMIFS(AHSP!$L$5:$L$3000,AHSP!$I$5:$I$3000,"I",AHSP!$C$5:$C$3000,B23,AHSP!$J$5:$J$3000,"Upah")</f>
        <v>0</v>
      </c>
      <c r="D23" s="45" t="n">
        <f aca="false">INDEX('Perhitungan Upah'!$C$5:$C$13,MATCH(B23,'Perhitungan Upah'!$B$5:$B$13,0))</f>
        <v>174700</v>
      </c>
      <c r="E23" s="46" t="n">
        <f aca="false">C23*D23</f>
        <v>0</v>
      </c>
    </row>
    <row r="24" customFormat="false" ht="15" hidden="true" customHeight="true" outlineLevel="0" collapsed="false">
      <c r="A24" s="20" t="s">
        <v>516</v>
      </c>
      <c r="B24" s="37" t="s">
        <v>497</v>
      </c>
      <c r="C24" s="75" t="n">
        <f aca="false">SUMIFS(AHSP!$L$5:$L$3000,AHSP!$I$5:$I$3000,"I",AHSP!$C$5:$C$3000,B24,AHSP!$J$5:$J$3000,"Upah")</f>
        <v>0</v>
      </c>
      <c r="D24" s="21" t="n">
        <f aca="false">INDEX('Perhitungan Upah'!$C$5:$C$13,MATCH(B24,'Perhitungan Upah'!$B$5:$B$13,0))</f>
        <v>165000</v>
      </c>
      <c r="E24" s="26" t="n">
        <f aca="false">C24*D24</f>
        <v>0</v>
      </c>
    </row>
    <row r="25" customFormat="false" ht="15" hidden="true" customHeight="true" outlineLevel="0" collapsed="false">
      <c r="A25" s="42" t="s">
        <v>517</v>
      </c>
      <c r="B25" s="41" t="s">
        <v>499</v>
      </c>
      <c r="C25" s="76" t="n">
        <f aca="false">SUMIFS(AHSP!$L$5:$L$3000,AHSP!$I$5:$I$3000,"I",AHSP!$C$5:$C$3000,B25,AHSP!$J$5:$J$3000,"Upah")</f>
        <v>0</v>
      </c>
      <c r="D25" s="45" t="n">
        <f aca="false">INDEX('Perhitungan Upah'!$C$5:$C$13,MATCH(B25,'Perhitungan Upah'!$B$5:$B$13,0))</f>
        <v>182800</v>
      </c>
      <c r="E25" s="46" t="n">
        <f aca="false">C25*D25</f>
        <v>0</v>
      </c>
    </row>
    <row r="26" customFormat="false" ht="15" hidden="true" customHeight="true" outlineLevel="0" collapsed="false">
      <c r="A26" s="20" t="s">
        <v>518</v>
      </c>
      <c r="B26" s="37" t="s">
        <v>501</v>
      </c>
      <c r="C26" s="75" t="n">
        <f aca="false">SUMIFS(AHSP!$L$5:$L$3000,AHSP!$I$5:$I$3000,"I",AHSP!$C$5:$C$3000,B26,AHSP!$J$5:$J$3000,"Upah")</f>
        <v>0</v>
      </c>
      <c r="D26" s="21" t="n">
        <f aca="false">INDEX('Perhitungan Upah'!$C$5:$C$13,MATCH(B26,'Perhitungan Upah'!$B$5:$B$13,0))</f>
        <v>184400</v>
      </c>
      <c r="E26" s="26" t="n">
        <f aca="false">C26*D26</f>
        <v>0</v>
      </c>
    </row>
    <row r="27" customFormat="false" ht="15" hidden="true" customHeight="true" outlineLevel="0" collapsed="false">
      <c r="A27" s="42" t="s">
        <v>519</v>
      </c>
      <c r="B27" s="41" t="s">
        <v>503</v>
      </c>
      <c r="C27" s="76" t="n">
        <f aca="false">SUMIFS(AHSP!$L$5:$L$3000,AHSP!$I$5:$I$3000,"I",AHSP!$C$5:$C$3000,B27,AHSP!$J$5:$J$3000,"Upah")</f>
        <v>0</v>
      </c>
      <c r="D27" s="45" t="n">
        <f aca="false">INDEX('Perhitungan Upah'!$C$5:$C$13,MATCH(B27,'Perhitungan Upah'!$B$5:$B$13,0))</f>
        <v>198900</v>
      </c>
      <c r="E27" s="46" t="n">
        <f aca="false">C27*D27</f>
        <v>0</v>
      </c>
    </row>
    <row r="28" customFormat="false" ht="15" hidden="true" customHeight="true" outlineLevel="0" collapsed="false">
      <c r="A28" s="20" t="s">
        <v>520</v>
      </c>
      <c r="B28" s="37" t="s">
        <v>505</v>
      </c>
      <c r="C28" s="75" t="n">
        <f aca="false">SUMIFS(AHSP!$L$5:$L$3000,AHSP!$I$5:$I$3000,"I",AHSP!$C$5:$C$3000,B28,AHSP!$J$5:$J$3000,"Upah")</f>
        <v>0</v>
      </c>
      <c r="D28" s="21" t="n">
        <f aca="false">INDEX('Perhitungan Upah'!$C$5:$C$13,MATCH(B28,'Perhitungan Upah'!$B$5:$B$13,0))</f>
        <v>228300</v>
      </c>
      <c r="E28" s="26" t="n">
        <f aca="false">C28*D28</f>
        <v>0</v>
      </c>
    </row>
    <row r="29" customFormat="false" ht="15" hidden="false" customHeight="true" outlineLevel="0" collapsed="false">
      <c r="A29" s="35" t="s">
        <v>31</v>
      </c>
      <c r="B29" s="35"/>
      <c r="C29" s="74" t="n">
        <f aca="false">SUM(C30:C38)</f>
        <v>39.7740645</v>
      </c>
      <c r="D29" s="35"/>
      <c r="E29" s="36" t="n">
        <f aca="false">SUM(E30:E38)</f>
        <v>5569054.4331</v>
      </c>
    </row>
    <row r="30" customFormat="false" ht="15" hidden="false" customHeight="true" outlineLevel="0" collapsed="false">
      <c r="A30" s="20" t="s">
        <v>512</v>
      </c>
      <c r="B30" s="37" t="s">
        <v>488</v>
      </c>
      <c r="C30" s="75" t="n">
        <f aca="false">SUMIFS(AHSP!$L$5:$L$3000,AHSP!$I$5:$I$3000,"II",AHSP!$C$5:$C$3000,B30,AHSP!$J$5:$J$3000,"Upah")</f>
        <v>33.09598125</v>
      </c>
      <c r="D30" s="21" t="n">
        <f aca="false">INDEX('Perhitungan Upah'!$C$5:$C$13,MATCH(B30,'Perhitungan Upah'!$B$5:$B$13,0))</f>
        <v>130500</v>
      </c>
      <c r="E30" s="26" t="n">
        <f aca="false">C30*D30</f>
        <v>4319025.553125</v>
      </c>
    </row>
    <row r="31" customFormat="false" ht="15" hidden="false" customHeight="true" outlineLevel="0" collapsed="false">
      <c r="A31" s="42" t="s">
        <v>513</v>
      </c>
      <c r="B31" s="41" t="s">
        <v>491</v>
      </c>
      <c r="C31" s="76" t="n">
        <f aca="false">SUMIFS(AHSP!$L$5:$L$3000,AHSP!$I$5:$I$3000,"II",AHSP!$C$5:$C$3000,B31,AHSP!$J$5:$J$3000,"Upah")</f>
        <v>4.908195</v>
      </c>
      <c r="D31" s="45" t="n">
        <f aca="false">INDEX('Perhitungan Upah'!$C$5:$C$13,MATCH(B31,'Perhitungan Upah'!$B$5:$B$13,0))</f>
        <v>175300</v>
      </c>
      <c r="E31" s="46" t="n">
        <f aca="false">C31*D31</f>
        <v>860406.5835</v>
      </c>
    </row>
    <row r="32" customFormat="false" ht="15" hidden="true" customHeight="true" outlineLevel="0" collapsed="false">
      <c r="A32" s="20" t="s">
        <v>514</v>
      </c>
      <c r="B32" s="37" t="s">
        <v>493</v>
      </c>
      <c r="C32" s="75" t="n">
        <f aca="false">SUMIFS(AHSP!$L$5:$L$3000,AHSP!$I$5:$I$3000,"II",AHSP!$C$5:$C$3000,B32,AHSP!$J$5:$J$3000,"Upah")</f>
        <v>0</v>
      </c>
      <c r="D32" s="21" t="n">
        <f aca="false">INDEX('Perhitungan Upah'!$C$5:$C$13,MATCH(B32,'Perhitungan Upah'!$B$5:$B$13,0))</f>
        <v>174700</v>
      </c>
      <c r="E32" s="26" t="n">
        <f aca="false">C32*D32</f>
        <v>0</v>
      </c>
    </row>
    <row r="33" customFormat="false" ht="15" hidden="true" customHeight="true" outlineLevel="0" collapsed="false">
      <c r="A33" s="42" t="s">
        <v>515</v>
      </c>
      <c r="B33" s="41" t="s">
        <v>495</v>
      </c>
      <c r="C33" s="76" t="n">
        <f aca="false">SUMIFS(AHSP!$L$5:$L$3000,AHSP!$I$5:$I$3000,"II",AHSP!$C$5:$C$3000,B33,AHSP!$J$5:$J$3000,"Upah")</f>
        <v>0</v>
      </c>
      <c r="D33" s="45" t="n">
        <f aca="false">INDEX('Perhitungan Upah'!$C$5:$C$13,MATCH(B33,'Perhitungan Upah'!$B$5:$B$13,0))</f>
        <v>174700</v>
      </c>
      <c r="E33" s="46" t="n">
        <f aca="false">C33*D33</f>
        <v>0</v>
      </c>
    </row>
    <row r="34" customFormat="false" ht="15" hidden="true" customHeight="true" outlineLevel="0" collapsed="false">
      <c r="A34" s="20" t="s">
        <v>516</v>
      </c>
      <c r="B34" s="37" t="s">
        <v>497</v>
      </c>
      <c r="C34" s="75" t="n">
        <f aca="false">SUMIFS(AHSP!$L$5:$L$3000,AHSP!$I$5:$I$3000,"II",AHSP!$C$5:$C$3000,B34,AHSP!$J$5:$J$3000,"Upah")</f>
        <v>0</v>
      </c>
      <c r="D34" s="21" t="n">
        <f aca="false">INDEX('Perhitungan Upah'!$C$5:$C$13,MATCH(B34,'Perhitungan Upah'!$B$5:$B$13,0))</f>
        <v>165000</v>
      </c>
      <c r="E34" s="26" t="n">
        <f aca="false">C34*D34</f>
        <v>0</v>
      </c>
    </row>
    <row r="35" customFormat="false" ht="15" hidden="true" customHeight="true" outlineLevel="0" collapsed="false">
      <c r="A35" s="42" t="s">
        <v>517</v>
      </c>
      <c r="B35" s="41" t="s">
        <v>499</v>
      </c>
      <c r="C35" s="76" t="n">
        <f aca="false">SUMIFS(AHSP!$L$5:$L$3000,AHSP!$I$5:$I$3000,"II",AHSP!$C$5:$C$3000,B35,AHSP!$J$5:$J$3000,"Upah")</f>
        <v>0</v>
      </c>
      <c r="D35" s="45" t="n">
        <f aca="false">INDEX('Perhitungan Upah'!$C$5:$C$13,MATCH(B35,'Perhitungan Upah'!$B$5:$B$13,0))</f>
        <v>182800</v>
      </c>
      <c r="E35" s="46" t="n">
        <f aca="false">C35*D35</f>
        <v>0</v>
      </c>
    </row>
    <row r="36" customFormat="false" ht="15" hidden="true" customHeight="true" outlineLevel="0" collapsed="false">
      <c r="A36" s="20" t="s">
        <v>518</v>
      </c>
      <c r="B36" s="37" t="s">
        <v>501</v>
      </c>
      <c r="C36" s="75" t="n">
        <f aca="false">SUMIFS(AHSP!$L$5:$L$3000,AHSP!$I$5:$I$3000,"II",AHSP!$C$5:$C$3000,B36,AHSP!$J$5:$J$3000,"Upah")</f>
        <v>0</v>
      </c>
      <c r="D36" s="21" t="n">
        <f aca="false">INDEX('Perhitungan Upah'!$C$5:$C$13,MATCH(B36,'Perhitungan Upah'!$B$5:$B$13,0))</f>
        <v>184400</v>
      </c>
      <c r="E36" s="26" t="n">
        <f aca="false">C36*D36</f>
        <v>0</v>
      </c>
    </row>
    <row r="37" customFormat="false" ht="15" hidden="false" customHeight="true" outlineLevel="0" collapsed="false">
      <c r="A37" s="42" t="s">
        <v>519</v>
      </c>
      <c r="B37" s="41" t="s">
        <v>503</v>
      </c>
      <c r="C37" s="76" t="n">
        <f aca="false">SUMIFS(AHSP!$L$5:$L$3000,AHSP!$I$5:$I$3000,"II",AHSP!$C$5:$C$3000,B37,AHSP!$J$5:$J$3000,"Upah")</f>
        <v>0.491265</v>
      </c>
      <c r="D37" s="45" t="n">
        <f aca="false">INDEX('Perhitungan Upah'!$C$5:$C$13,MATCH(B37,'Perhitungan Upah'!$B$5:$B$13,0))</f>
        <v>198900</v>
      </c>
      <c r="E37" s="46" t="n">
        <f aca="false">C37*D37</f>
        <v>97712.6085</v>
      </c>
    </row>
    <row r="38" customFormat="false" ht="15" hidden="false" customHeight="true" outlineLevel="0" collapsed="false">
      <c r="A38" s="20" t="s">
        <v>520</v>
      </c>
      <c r="B38" s="37" t="s">
        <v>505</v>
      </c>
      <c r="C38" s="75" t="n">
        <f aca="false">SUMIFS(AHSP!$L$5:$L$3000,AHSP!$I$5:$I$3000,"II",AHSP!$C$5:$C$3000,B38,AHSP!$J$5:$J$3000,"Upah")</f>
        <v>1.27862325</v>
      </c>
      <c r="D38" s="21" t="n">
        <f aca="false">INDEX('Perhitungan Upah'!$C$5:$C$13,MATCH(B38,'Perhitungan Upah'!$B$5:$B$13,0))</f>
        <v>228300</v>
      </c>
      <c r="E38" s="26" t="n">
        <f aca="false">C38*D38</f>
        <v>291909.687975</v>
      </c>
    </row>
    <row r="39" customFormat="false" ht="15" hidden="false" customHeight="true" outlineLevel="0" collapsed="false">
      <c r="A39" s="35" t="s">
        <v>32</v>
      </c>
      <c r="B39" s="35"/>
      <c r="C39" s="74" t="n">
        <f aca="false">SUM(C40:C48)</f>
        <v>29.1943739796683</v>
      </c>
      <c r="D39" s="35"/>
      <c r="E39" s="36" t="n">
        <f aca="false">SUM(E40:E48)</f>
        <v>4387790.08710952</v>
      </c>
    </row>
    <row r="40" customFormat="false" ht="15" hidden="false" customHeight="true" outlineLevel="0" collapsed="false">
      <c r="A40" s="20" t="s">
        <v>512</v>
      </c>
      <c r="B40" s="37" t="s">
        <v>488</v>
      </c>
      <c r="C40" s="75" t="n">
        <f aca="false">SUMIFS(AHSP!$L$5:$L$3000,AHSP!$I$5:$I$3000,"III",AHSP!$C$5:$C$3000,B40,AHSP!$J$5:$J$3000,"Upah")</f>
        <v>17.7502175979898</v>
      </c>
      <c r="D40" s="21" t="n">
        <f aca="false">INDEX('Perhitungan Upah'!$C$5:$C$13,MATCH(B40,'Perhitungan Upah'!$B$5:$B$13,0))</f>
        <v>130500</v>
      </c>
      <c r="E40" s="26" t="n">
        <f aca="false">C40*D40</f>
        <v>2316403.39653767</v>
      </c>
    </row>
    <row r="41" customFormat="false" ht="15" hidden="false" customHeight="true" outlineLevel="0" collapsed="false">
      <c r="A41" s="42" t="s">
        <v>513</v>
      </c>
      <c r="B41" s="41" t="s">
        <v>491</v>
      </c>
      <c r="C41" s="76" t="n">
        <f aca="false">SUMIFS(AHSP!$L$5:$L$3000,AHSP!$I$5:$I$3000,"III",AHSP!$C$5:$C$3000,B41,AHSP!$J$5:$J$3000,"Upah")</f>
        <v>0.356822828925353</v>
      </c>
      <c r="D41" s="45" t="n">
        <f aca="false">INDEX('Perhitungan Upah'!$C$5:$C$13,MATCH(B41,'Perhitungan Upah'!$B$5:$B$13,0))</f>
        <v>175300</v>
      </c>
      <c r="E41" s="46" t="n">
        <f aca="false">C41*D41</f>
        <v>62551.0419106145</v>
      </c>
    </row>
    <row r="42" customFormat="false" ht="15" hidden="false" customHeight="true" outlineLevel="0" collapsed="false">
      <c r="A42" s="20" t="s">
        <v>514</v>
      </c>
      <c r="B42" s="37" t="s">
        <v>493</v>
      </c>
      <c r="C42" s="75" t="n">
        <f aca="false">SUMIFS(AHSP!$L$5:$L$3000,AHSP!$I$5:$I$3000,"III",AHSP!$C$5:$C$3000,B42,AHSP!$J$5:$J$3000,"Upah")</f>
        <v>6.3897328875192</v>
      </c>
      <c r="D42" s="21" t="n">
        <f aca="false">INDEX('Perhitungan Upah'!$C$5:$C$13,MATCH(B42,'Perhitungan Upah'!$B$5:$B$13,0))</f>
        <v>174700</v>
      </c>
      <c r="E42" s="26" t="n">
        <f aca="false">C42*D42</f>
        <v>1116286.3354496</v>
      </c>
    </row>
    <row r="43" customFormat="false" ht="15" hidden="false" customHeight="true" outlineLevel="0" collapsed="false">
      <c r="A43" s="42" t="s">
        <v>515</v>
      </c>
      <c r="B43" s="41" t="s">
        <v>495</v>
      </c>
      <c r="C43" s="76" t="n">
        <f aca="false">SUMIFS(AHSP!$L$5:$L$3000,AHSP!$I$5:$I$3000,"III",AHSP!$C$5:$C$3000,B43,AHSP!$J$5:$J$3000,"Upah")</f>
        <v>2.83095147830051</v>
      </c>
      <c r="D43" s="45" t="n">
        <f aca="false">INDEX('Perhitungan Upah'!$C$5:$C$13,MATCH(B43,'Perhitungan Upah'!$B$5:$B$13,0))</f>
        <v>174700</v>
      </c>
      <c r="E43" s="46" t="n">
        <f aca="false">C43*D43</f>
        <v>494567.223259099</v>
      </c>
    </row>
    <row r="44" customFormat="false" ht="15" hidden="true" customHeight="true" outlineLevel="0" collapsed="false">
      <c r="A44" s="20" t="s">
        <v>516</v>
      </c>
      <c r="B44" s="37" t="s">
        <v>497</v>
      </c>
      <c r="C44" s="75" t="n">
        <f aca="false">SUMIFS(AHSP!$L$5:$L$3000,AHSP!$I$5:$I$3000,"III",AHSP!$C$5:$C$3000,B44,AHSP!$J$5:$J$3000,"Upah")</f>
        <v>0</v>
      </c>
      <c r="D44" s="21" t="n">
        <f aca="false">INDEX('Perhitungan Upah'!$C$5:$C$13,MATCH(B44,'Perhitungan Upah'!$B$5:$B$13,0))</f>
        <v>165000</v>
      </c>
      <c r="E44" s="26" t="n">
        <f aca="false">C44*D44</f>
        <v>0</v>
      </c>
    </row>
    <row r="45" customFormat="false" ht="15" hidden="true" customHeight="true" outlineLevel="0" collapsed="false">
      <c r="A45" s="42" t="s">
        <v>517</v>
      </c>
      <c r="B45" s="41" t="s">
        <v>499</v>
      </c>
      <c r="C45" s="76" t="n">
        <f aca="false">SUMIFS(AHSP!$L$5:$L$3000,AHSP!$I$5:$I$3000,"III",AHSP!$C$5:$C$3000,B45,AHSP!$J$5:$J$3000,"Upah")</f>
        <v>0</v>
      </c>
      <c r="D45" s="45" t="n">
        <f aca="false">INDEX('Perhitungan Upah'!$C$5:$C$13,MATCH(B45,'Perhitungan Upah'!$B$5:$B$13,0))</f>
        <v>182800</v>
      </c>
      <c r="E45" s="46" t="n">
        <f aca="false">C45*D45</f>
        <v>0</v>
      </c>
    </row>
    <row r="46" customFormat="false" ht="15" hidden="true" customHeight="true" outlineLevel="0" collapsed="false">
      <c r="A46" s="20" t="s">
        <v>518</v>
      </c>
      <c r="B46" s="37" t="s">
        <v>501</v>
      </c>
      <c r="C46" s="75" t="n">
        <f aca="false">SUMIFS(AHSP!$L$5:$L$3000,AHSP!$I$5:$I$3000,"III",AHSP!$C$5:$C$3000,B46,AHSP!$J$5:$J$3000,"Upah")</f>
        <v>0</v>
      </c>
      <c r="D46" s="21" t="n">
        <f aca="false">INDEX('Perhitungan Upah'!$C$5:$C$13,MATCH(B46,'Perhitungan Upah'!$B$5:$B$13,0))</f>
        <v>184400</v>
      </c>
      <c r="E46" s="26" t="n">
        <f aca="false">C46*D46</f>
        <v>0</v>
      </c>
    </row>
    <row r="47" customFormat="false" ht="15" hidden="false" customHeight="true" outlineLevel="0" collapsed="false">
      <c r="A47" s="42" t="s">
        <v>519</v>
      </c>
      <c r="B47" s="41" t="s">
        <v>503</v>
      </c>
      <c r="C47" s="76" t="n">
        <f aca="false">SUMIFS(AHSP!$L$5:$L$3000,AHSP!$I$5:$I$3000,"III",AHSP!$C$5:$C$3000,B47,AHSP!$J$5:$J$3000,"Upah")</f>
        <v>0.958296579060294</v>
      </c>
      <c r="D47" s="45" t="n">
        <f aca="false">INDEX('Perhitungan Upah'!$C$5:$C$13,MATCH(B47,'Perhitungan Upah'!$B$5:$B$13,0))</f>
        <v>198900</v>
      </c>
      <c r="E47" s="46" t="n">
        <f aca="false">C47*D47</f>
        <v>190605.189575093</v>
      </c>
    </row>
    <row r="48" customFormat="false" ht="15" hidden="false" customHeight="true" outlineLevel="0" collapsed="false">
      <c r="A48" s="20" t="s">
        <v>520</v>
      </c>
      <c r="B48" s="37" t="s">
        <v>505</v>
      </c>
      <c r="C48" s="75" t="n">
        <f aca="false">SUMIFS(AHSP!$L$5:$L$3000,AHSP!$I$5:$I$3000,"III",AHSP!$C$5:$C$3000,B48,AHSP!$J$5:$J$3000,"Upah")</f>
        <v>0.90835260787314</v>
      </c>
      <c r="D48" s="21" t="n">
        <f aca="false">INDEX('Perhitungan Upah'!$C$5:$C$13,MATCH(B48,'Perhitungan Upah'!$B$5:$B$13,0))</f>
        <v>228300</v>
      </c>
      <c r="E48" s="26" t="n">
        <f aca="false">C48*D48</f>
        <v>207376.900377438</v>
      </c>
    </row>
    <row r="49" customFormat="false" ht="15" hidden="false" customHeight="true" outlineLevel="0" collapsed="false">
      <c r="A49" s="35" t="s">
        <v>33</v>
      </c>
      <c r="B49" s="35"/>
      <c r="C49" s="74" t="n">
        <f aca="false">SUM(C50:C58)</f>
        <v>124.411994061379</v>
      </c>
      <c r="D49" s="35"/>
      <c r="E49" s="36" t="n">
        <f aca="false">SUM(E50:E58)</f>
        <v>18526162.4596087</v>
      </c>
    </row>
    <row r="50" customFormat="false" ht="15" hidden="false" customHeight="true" outlineLevel="0" collapsed="false">
      <c r="A50" s="20" t="s">
        <v>512</v>
      </c>
      <c r="B50" s="37" t="s">
        <v>488</v>
      </c>
      <c r="C50" s="75" t="n">
        <f aca="false">SUMIFS(AHSP!$L$5:$L$3000,AHSP!$I$5:$I$3000,"IV",AHSP!$C$5:$C$3000,B50,AHSP!$J$5:$J$3000,"Upah")</f>
        <v>79.9541063257984</v>
      </c>
      <c r="D50" s="21" t="n">
        <f aca="false">INDEX('Perhitungan Upah'!$C$5:$C$13,MATCH(B50,'Perhitungan Upah'!$B$5:$B$13,0))</f>
        <v>130500</v>
      </c>
      <c r="E50" s="26" t="n">
        <f aca="false">C50*D50</f>
        <v>10434010.8755167</v>
      </c>
    </row>
    <row r="51" customFormat="false" ht="15" hidden="false" customHeight="true" outlineLevel="0" collapsed="false">
      <c r="A51" s="42" t="s">
        <v>513</v>
      </c>
      <c r="B51" s="41" t="s">
        <v>491</v>
      </c>
      <c r="C51" s="76" t="n">
        <f aca="false">SUMIFS(AHSP!$L$5:$L$3000,AHSP!$I$5:$I$3000,"IV",AHSP!$C$5:$C$3000,B51,AHSP!$J$5:$J$3000,"Upah")</f>
        <v>36.7819840175368</v>
      </c>
      <c r="D51" s="45" t="n">
        <f aca="false">INDEX('Perhitungan Upah'!$C$5:$C$13,MATCH(B51,'Perhitungan Upah'!$B$5:$B$13,0))</f>
        <v>175300</v>
      </c>
      <c r="E51" s="46" t="n">
        <f aca="false">C51*D51</f>
        <v>6447881.7982742</v>
      </c>
    </row>
    <row r="52" customFormat="false" ht="15" hidden="true" customHeight="true" outlineLevel="0" collapsed="false">
      <c r="A52" s="20" t="s">
        <v>514</v>
      </c>
      <c r="B52" s="37" t="s">
        <v>493</v>
      </c>
      <c r="C52" s="75" t="n">
        <f aca="false">SUMIFS(AHSP!$L$5:$L$3000,AHSP!$I$5:$I$3000,"IV",AHSP!$C$5:$C$3000,B52,AHSP!$J$5:$J$3000,"Upah")</f>
        <v>0</v>
      </c>
      <c r="D52" s="21" t="n">
        <f aca="false">INDEX('Perhitungan Upah'!$C$5:$C$13,MATCH(B52,'Perhitungan Upah'!$B$5:$B$13,0))</f>
        <v>174700</v>
      </c>
      <c r="E52" s="26" t="n">
        <f aca="false">C52*D52</f>
        <v>0</v>
      </c>
    </row>
    <row r="53" customFormat="false" ht="15" hidden="true" customHeight="true" outlineLevel="0" collapsed="false">
      <c r="A53" s="42" t="s">
        <v>515</v>
      </c>
      <c r="B53" s="41" t="s">
        <v>495</v>
      </c>
      <c r="C53" s="76" t="n">
        <f aca="false">SUMIFS(AHSP!$L$5:$L$3000,AHSP!$I$5:$I$3000,"IV",AHSP!$C$5:$C$3000,B53,AHSP!$J$5:$J$3000,"Upah")</f>
        <v>0</v>
      </c>
      <c r="D53" s="45" t="n">
        <f aca="false">INDEX('Perhitungan Upah'!$C$5:$C$13,MATCH(B53,'Perhitungan Upah'!$B$5:$B$13,0))</f>
        <v>174700</v>
      </c>
      <c r="E53" s="46" t="n">
        <f aca="false">C53*D53</f>
        <v>0</v>
      </c>
    </row>
    <row r="54" customFormat="false" ht="15" hidden="true" customHeight="true" outlineLevel="0" collapsed="false">
      <c r="A54" s="20" t="s">
        <v>516</v>
      </c>
      <c r="B54" s="37" t="s">
        <v>497</v>
      </c>
      <c r="C54" s="75" t="n">
        <f aca="false">SUMIFS(AHSP!$L$5:$L$3000,AHSP!$I$5:$I$3000,"IV",AHSP!$C$5:$C$3000,B54,AHSP!$J$5:$J$3000,"Upah")</f>
        <v>0</v>
      </c>
      <c r="D54" s="21" t="n">
        <f aca="false">INDEX('Perhitungan Upah'!$C$5:$C$13,MATCH(B54,'Perhitungan Upah'!$B$5:$B$13,0))</f>
        <v>165000</v>
      </c>
      <c r="E54" s="26" t="n">
        <f aca="false">C54*D54</f>
        <v>0</v>
      </c>
    </row>
    <row r="55" customFormat="false" ht="15" hidden="true" customHeight="true" outlineLevel="0" collapsed="false">
      <c r="A55" s="42" t="s">
        <v>517</v>
      </c>
      <c r="B55" s="41" t="s">
        <v>499</v>
      </c>
      <c r="C55" s="76" t="n">
        <f aca="false">SUMIFS(AHSP!$L$5:$L$3000,AHSP!$I$5:$I$3000,"IV",AHSP!$C$5:$C$3000,B55,AHSP!$J$5:$J$3000,"Upah")</f>
        <v>0</v>
      </c>
      <c r="D55" s="45" t="n">
        <f aca="false">INDEX('Perhitungan Upah'!$C$5:$C$13,MATCH(B55,'Perhitungan Upah'!$B$5:$B$13,0))</f>
        <v>182800</v>
      </c>
      <c r="E55" s="46" t="n">
        <f aca="false">C55*D55</f>
        <v>0</v>
      </c>
    </row>
    <row r="56" customFormat="false" ht="15" hidden="true" customHeight="true" outlineLevel="0" collapsed="false">
      <c r="A56" s="20" t="s">
        <v>518</v>
      </c>
      <c r="B56" s="37" t="s">
        <v>501</v>
      </c>
      <c r="C56" s="75" t="n">
        <f aca="false">SUMIFS(AHSP!$L$5:$L$3000,AHSP!$I$5:$I$3000,"IV",AHSP!$C$5:$C$3000,B56,AHSP!$J$5:$J$3000,"Upah")</f>
        <v>0</v>
      </c>
      <c r="D56" s="21" t="n">
        <f aca="false">INDEX('Perhitungan Upah'!$C$5:$C$13,MATCH(B56,'Perhitungan Upah'!$B$5:$B$13,0))</f>
        <v>184400</v>
      </c>
      <c r="E56" s="26" t="n">
        <f aca="false">C56*D56</f>
        <v>0</v>
      </c>
    </row>
    <row r="57" customFormat="false" ht="15" hidden="false" customHeight="true" outlineLevel="0" collapsed="false">
      <c r="A57" s="42" t="s">
        <v>519</v>
      </c>
      <c r="B57" s="41" t="s">
        <v>503</v>
      </c>
      <c r="C57" s="76" t="n">
        <f aca="false">SUMIFS(AHSP!$L$5:$L$3000,AHSP!$I$5:$I$3000,"IV",AHSP!$C$5:$C$3000,B57,AHSP!$J$5:$J$3000,"Upah")</f>
        <v>3.67819840175368</v>
      </c>
      <c r="D57" s="45" t="n">
        <f aca="false">INDEX('Perhitungan Upah'!$C$5:$C$13,MATCH(B57,'Perhitungan Upah'!$B$5:$B$13,0))</f>
        <v>198900</v>
      </c>
      <c r="E57" s="46" t="n">
        <f aca="false">C57*D57</f>
        <v>731593.662108807</v>
      </c>
    </row>
    <row r="58" customFormat="false" ht="15" hidden="false" customHeight="true" outlineLevel="0" collapsed="false">
      <c r="A58" s="20" t="s">
        <v>520</v>
      </c>
      <c r="B58" s="37" t="s">
        <v>505</v>
      </c>
      <c r="C58" s="75" t="n">
        <f aca="false">SUMIFS(AHSP!$L$5:$L$3000,AHSP!$I$5:$I$3000,"IV",AHSP!$C$5:$C$3000,B58,AHSP!$J$5:$J$3000,"Upah")</f>
        <v>3.99770531628992</v>
      </c>
      <c r="D58" s="21" t="n">
        <f aca="false">INDEX('Perhitungan Upah'!$C$5:$C$13,MATCH(B58,'Perhitungan Upah'!$B$5:$B$13,0))</f>
        <v>228300</v>
      </c>
      <c r="E58" s="26" t="n">
        <f aca="false">C58*D58</f>
        <v>912676.123708989</v>
      </c>
    </row>
    <row r="59" customFormat="false" ht="15" hidden="false" customHeight="true" outlineLevel="0" collapsed="false">
      <c r="A59" s="35" t="s">
        <v>34</v>
      </c>
      <c r="B59" s="35"/>
      <c r="C59" s="74" t="n">
        <f aca="false">SUM(C60:C68)</f>
        <v>40.7087893412273</v>
      </c>
      <c r="D59" s="35"/>
      <c r="E59" s="36" t="n">
        <f aca="false">SUM(E60:E68)</f>
        <v>6299480.72729238</v>
      </c>
    </row>
    <row r="60" customFormat="false" ht="15" hidden="false" customHeight="true" outlineLevel="0" collapsed="false">
      <c r="A60" s="20" t="s">
        <v>512</v>
      </c>
      <c r="B60" s="37" t="s">
        <v>488</v>
      </c>
      <c r="C60" s="75" t="n">
        <f aca="false">SUMIFS(AHSP!$L$5:$L$3000,AHSP!$I$5:$I$3000,"V",AHSP!$C$5:$C$3000,B60,AHSP!$J$5:$J$3000,"Upah")</f>
        <v>18.6779027728741</v>
      </c>
      <c r="D60" s="21" t="n">
        <f aca="false">INDEX('Perhitungan Upah'!$C$5:$C$13,MATCH(B60,'Perhitungan Upah'!$B$5:$B$13,0))</f>
        <v>130500</v>
      </c>
      <c r="E60" s="26" t="n">
        <f aca="false">C60*D60</f>
        <v>2437466.31186007</v>
      </c>
    </row>
    <row r="61" customFormat="false" ht="15" hidden="false" customHeight="true" outlineLevel="0" collapsed="false">
      <c r="A61" s="42" t="s">
        <v>513</v>
      </c>
      <c r="B61" s="41" t="s">
        <v>491</v>
      </c>
      <c r="C61" s="76" t="n">
        <f aca="false">SUMIFS(AHSP!$L$5:$L$3000,AHSP!$I$5:$I$3000,"V",AHSP!$C$5:$C$3000,B61,AHSP!$J$5:$J$3000,"Upah")</f>
        <v>22.0308865683531</v>
      </c>
      <c r="D61" s="45" t="n">
        <f aca="false">INDEX('Perhitungan Upah'!$C$5:$C$13,MATCH(B61,'Perhitungan Upah'!$B$5:$B$13,0))</f>
        <v>175300</v>
      </c>
      <c r="E61" s="46" t="n">
        <f aca="false">C61*D61</f>
        <v>3862014.41543231</v>
      </c>
    </row>
    <row r="62" customFormat="false" ht="15" hidden="true" customHeight="true" outlineLevel="0" collapsed="false">
      <c r="A62" s="20" t="s">
        <v>514</v>
      </c>
      <c r="B62" s="37" t="s">
        <v>493</v>
      </c>
      <c r="C62" s="75" t="n">
        <f aca="false">SUMIFS(AHSP!$L$5:$L$3000,AHSP!$I$5:$I$3000,"V",AHSP!$C$5:$C$3000,B62,AHSP!$J$5:$J$3000,"Upah")</f>
        <v>0</v>
      </c>
      <c r="D62" s="21" t="n">
        <f aca="false">INDEX('Perhitungan Upah'!$C$5:$C$13,MATCH(B62,'Perhitungan Upah'!$B$5:$B$13,0))</f>
        <v>174700</v>
      </c>
      <c r="E62" s="26" t="n">
        <f aca="false">C62*D62</f>
        <v>0</v>
      </c>
    </row>
    <row r="63" customFormat="false" ht="15" hidden="true" customHeight="true" outlineLevel="0" collapsed="false">
      <c r="A63" s="42" t="s">
        <v>515</v>
      </c>
      <c r="B63" s="41" t="s">
        <v>495</v>
      </c>
      <c r="C63" s="76" t="n">
        <f aca="false">SUMIFS(AHSP!$L$5:$L$3000,AHSP!$I$5:$I$3000,"V",AHSP!$C$5:$C$3000,B63,AHSP!$J$5:$J$3000,"Upah")</f>
        <v>0</v>
      </c>
      <c r="D63" s="45" t="n">
        <f aca="false">INDEX('Perhitungan Upah'!$C$5:$C$13,MATCH(B63,'Perhitungan Upah'!$B$5:$B$13,0))</f>
        <v>174700</v>
      </c>
      <c r="E63" s="46" t="n">
        <f aca="false">C63*D63</f>
        <v>0</v>
      </c>
    </row>
    <row r="64" customFormat="false" ht="15" hidden="true" customHeight="true" outlineLevel="0" collapsed="false">
      <c r="A64" s="20" t="s">
        <v>516</v>
      </c>
      <c r="B64" s="37" t="s">
        <v>497</v>
      </c>
      <c r="C64" s="75" t="n">
        <f aca="false">SUMIFS(AHSP!$L$5:$L$3000,AHSP!$I$5:$I$3000,"V",AHSP!$C$5:$C$3000,B64,AHSP!$J$5:$J$3000,"Upah")</f>
        <v>0</v>
      </c>
      <c r="D64" s="21" t="n">
        <f aca="false">INDEX('Perhitungan Upah'!$C$5:$C$13,MATCH(B64,'Perhitungan Upah'!$B$5:$B$13,0))</f>
        <v>165000</v>
      </c>
      <c r="E64" s="26" t="n">
        <f aca="false">C64*D64</f>
        <v>0</v>
      </c>
    </row>
    <row r="65" customFormat="false" ht="15" hidden="true" customHeight="true" outlineLevel="0" collapsed="false">
      <c r="A65" s="42" t="s">
        <v>517</v>
      </c>
      <c r="B65" s="41" t="s">
        <v>499</v>
      </c>
      <c r="C65" s="76" t="n">
        <f aca="false">SUMIFS(AHSP!$L$5:$L$3000,AHSP!$I$5:$I$3000,"V",AHSP!$C$5:$C$3000,B65,AHSP!$J$5:$J$3000,"Upah")</f>
        <v>0</v>
      </c>
      <c r="D65" s="45" t="n">
        <f aca="false">INDEX('Perhitungan Upah'!$C$5:$C$13,MATCH(B65,'Perhitungan Upah'!$B$5:$B$13,0))</f>
        <v>182800</v>
      </c>
      <c r="E65" s="46" t="n">
        <f aca="false">C65*D65</f>
        <v>0</v>
      </c>
    </row>
    <row r="66" customFormat="false" ht="15" hidden="true" customHeight="true" outlineLevel="0" collapsed="false">
      <c r="A66" s="20" t="s">
        <v>518</v>
      </c>
      <c r="B66" s="37" t="s">
        <v>501</v>
      </c>
      <c r="C66" s="75" t="n">
        <f aca="false">SUMIFS(AHSP!$L$5:$L$3000,AHSP!$I$5:$I$3000,"V",AHSP!$C$5:$C$3000,B66,AHSP!$J$5:$J$3000,"Upah")</f>
        <v>0</v>
      </c>
      <c r="D66" s="21" t="n">
        <f aca="false">INDEX('Perhitungan Upah'!$C$5:$C$13,MATCH(B66,'Perhitungan Upah'!$B$5:$B$13,0))</f>
        <v>184400</v>
      </c>
      <c r="E66" s="26" t="n">
        <f aca="false">C66*D66</f>
        <v>0</v>
      </c>
    </row>
    <row r="67" customFormat="false" ht="15" hidden="true" customHeight="true" outlineLevel="0" collapsed="false">
      <c r="A67" s="42" t="s">
        <v>519</v>
      </c>
      <c r="B67" s="41" t="s">
        <v>503</v>
      </c>
      <c r="C67" s="76" t="n">
        <f aca="false">SUMIFS(AHSP!$L$5:$L$3000,AHSP!$I$5:$I$3000,"V",AHSP!$C$5:$C$3000,B67,AHSP!$J$5:$J$3000,"Upah")</f>
        <v>0</v>
      </c>
      <c r="D67" s="45" t="n">
        <f aca="false">INDEX('Perhitungan Upah'!$C$5:$C$13,MATCH(B67,'Perhitungan Upah'!$B$5:$B$13,0))</f>
        <v>198900</v>
      </c>
      <c r="E67" s="46" t="n">
        <f aca="false">C67*D67</f>
        <v>0</v>
      </c>
    </row>
    <row r="68" customFormat="false" ht="15" hidden="true" customHeight="true" outlineLevel="0" collapsed="false">
      <c r="A68" s="20" t="s">
        <v>520</v>
      </c>
      <c r="B68" s="37" t="s">
        <v>505</v>
      </c>
      <c r="C68" s="75" t="n">
        <f aca="false">SUMIFS(AHSP!$L$5:$L$3000,AHSP!$I$5:$I$3000,"V",AHSP!$C$5:$C$3000,B68,AHSP!$J$5:$J$3000,"Upah")</f>
        <v>0</v>
      </c>
      <c r="D68" s="21" t="n">
        <f aca="false">INDEX('Perhitungan Upah'!$C$5:$C$13,MATCH(B68,'Perhitungan Upah'!$B$5:$B$13,0))</f>
        <v>228300</v>
      </c>
      <c r="E68" s="26" t="n">
        <f aca="false">C68*D68</f>
        <v>0</v>
      </c>
    </row>
    <row r="69" customFormat="false" ht="15" hidden="false" customHeight="true" outlineLevel="0" collapsed="false">
      <c r="A69" s="35" t="s">
        <v>35</v>
      </c>
      <c r="B69" s="35"/>
      <c r="C69" s="74" t="n">
        <f aca="false">SUM(C70:C78)</f>
        <v>12.15</v>
      </c>
      <c r="D69" s="35"/>
      <c r="E69" s="36" t="n">
        <f aca="false">SUM(E70:E78)</f>
        <v>1943595</v>
      </c>
    </row>
    <row r="70" customFormat="false" ht="15" hidden="false" customHeight="true" outlineLevel="0" collapsed="false">
      <c r="A70" s="20" t="s">
        <v>512</v>
      </c>
      <c r="B70" s="37" t="s">
        <v>488</v>
      </c>
      <c r="C70" s="75" t="n">
        <f aca="false">SUMIFS(AHSP!$L$5:$L$3000,AHSP!$I$5:$I$3000,"VI",AHSP!$C$5:$C$3000,B70,AHSP!$J$5:$J$3000,"Upah")</f>
        <v>4.05</v>
      </c>
      <c r="D70" s="21" t="n">
        <f aca="false">INDEX('Perhitungan Upah'!$C$5:$C$13,MATCH(B70,'Perhitungan Upah'!$B$5:$B$13,0))</f>
        <v>130500</v>
      </c>
      <c r="E70" s="26" t="n">
        <f aca="false">C70*D70</f>
        <v>528525</v>
      </c>
    </row>
    <row r="71" customFormat="false" ht="15" hidden="true" customHeight="true" outlineLevel="0" collapsed="false">
      <c r="A71" s="42" t="s">
        <v>513</v>
      </c>
      <c r="B71" s="41" t="s">
        <v>491</v>
      </c>
      <c r="C71" s="76" t="n">
        <f aca="false">SUMIFS(AHSP!$L$5:$L$3000,AHSP!$I$5:$I$3000,"VI",AHSP!$C$5:$C$3000,B71,AHSP!$J$5:$J$3000,"Upah")</f>
        <v>0</v>
      </c>
      <c r="D71" s="45" t="n">
        <f aca="false">INDEX('Perhitungan Upah'!$C$5:$C$13,MATCH(B71,'Perhitungan Upah'!$B$5:$B$13,0))</f>
        <v>175300</v>
      </c>
      <c r="E71" s="46" t="n">
        <f aca="false">C71*D71</f>
        <v>0</v>
      </c>
    </row>
    <row r="72" customFormat="false" ht="15" hidden="false" customHeight="true" outlineLevel="0" collapsed="false">
      <c r="A72" s="20" t="s">
        <v>514</v>
      </c>
      <c r="B72" s="37" t="s">
        <v>493</v>
      </c>
      <c r="C72" s="75" t="n">
        <f aca="false">SUMIFS(AHSP!$L$5:$L$3000,AHSP!$I$5:$I$3000,"VI",AHSP!$C$5:$C$3000,B72,AHSP!$J$5:$J$3000,"Upah")</f>
        <v>8.1</v>
      </c>
      <c r="D72" s="21" t="n">
        <f aca="false">INDEX('Perhitungan Upah'!$C$5:$C$13,MATCH(B72,'Perhitungan Upah'!$B$5:$B$13,0))</f>
        <v>174700</v>
      </c>
      <c r="E72" s="26" t="n">
        <f aca="false">C72*D72</f>
        <v>1415070</v>
      </c>
    </row>
    <row r="73" customFormat="false" ht="15" hidden="true" customHeight="true" outlineLevel="0" collapsed="false">
      <c r="A73" s="42" t="s">
        <v>515</v>
      </c>
      <c r="B73" s="41" t="s">
        <v>495</v>
      </c>
      <c r="C73" s="76" t="n">
        <f aca="false">SUMIFS(AHSP!$L$5:$L$3000,AHSP!$I$5:$I$3000,"VI",AHSP!$C$5:$C$3000,B73,AHSP!$J$5:$J$3000,"Upah")</f>
        <v>0</v>
      </c>
      <c r="D73" s="45" t="n">
        <f aca="false">INDEX('Perhitungan Upah'!$C$5:$C$13,MATCH(B73,'Perhitungan Upah'!$B$5:$B$13,0))</f>
        <v>174700</v>
      </c>
      <c r="E73" s="46" t="n">
        <f aca="false">C73*D73</f>
        <v>0</v>
      </c>
    </row>
    <row r="74" customFormat="false" ht="15" hidden="true" customHeight="true" outlineLevel="0" collapsed="false">
      <c r="A74" s="20" t="s">
        <v>516</v>
      </c>
      <c r="B74" s="37" t="s">
        <v>497</v>
      </c>
      <c r="C74" s="75" t="n">
        <f aca="false">SUMIFS(AHSP!$L$5:$L$3000,AHSP!$I$5:$I$3000,"VI",AHSP!$C$5:$C$3000,B74,AHSP!$J$5:$J$3000,"Upah")</f>
        <v>0</v>
      </c>
      <c r="D74" s="21" t="n">
        <f aca="false">INDEX('Perhitungan Upah'!$C$5:$C$13,MATCH(B74,'Perhitungan Upah'!$B$5:$B$13,0))</f>
        <v>165000</v>
      </c>
      <c r="E74" s="26" t="n">
        <f aca="false">C74*D74</f>
        <v>0</v>
      </c>
    </row>
    <row r="75" customFormat="false" ht="15" hidden="true" customHeight="true" outlineLevel="0" collapsed="false">
      <c r="A75" s="42" t="s">
        <v>517</v>
      </c>
      <c r="B75" s="41" t="s">
        <v>499</v>
      </c>
      <c r="C75" s="76" t="n">
        <f aca="false">SUMIFS(AHSP!$L$5:$L$3000,AHSP!$I$5:$I$3000,"VI",AHSP!$C$5:$C$3000,B75,AHSP!$J$5:$J$3000,"Upah")</f>
        <v>0</v>
      </c>
      <c r="D75" s="45" t="n">
        <f aca="false">INDEX('Perhitungan Upah'!$C$5:$C$13,MATCH(B75,'Perhitungan Upah'!$B$5:$B$13,0))</f>
        <v>182800</v>
      </c>
      <c r="E75" s="46" t="n">
        <f aca="false">C75*D75</f>
        <v>0</v>
      </c>
    </row>
    <row r="76" customFormat="false" ht="15" hidden="true" customHeight="true" outlineLevel="0" collapsed="false">
      <c r="A76" s="20" t="s">
        <v>518</v>
      </c>
      <c r="B76" s="37" t="s">
        <v>501</v>
      </c>
      <c r="C76" s="75" t="n">
        <f aca="false">SUMIFS(AHSP!$L$5:$L$3000,AHSP!$I$5:$I$3000,"VI",AHSP!$C$5:$C$3000,B76,AHSP!$J$5:$J$3000,"Upah")</f>
        <v>0</v>
      </c>
      <c r="D76" s="21" t="n">
        <f aca="false">INDEX('Perhitungan Upah'!$C$5:$C$13,MATCH(B76,'Perhitungan Upah'!$B$5:$B$13,0))</f>
        <v>184400</v>
      </c>
      <c r="E76" s="26" t="n">
        <f aca="false">C76*D76</f>
        <v>0</v>
      </c>
    </row>
    <row r="77" customFormat="false" ht="15" hidden="true" customHeight="true" outlineLevel="0" collapsed="false">
      <c r="A77" s="42" t="s">
        <v>519</v>
      </c>
      <c r="B77" s="41" t="s">
        <v>503</v>
      </c>
      <c r="C77" s="76" t="n">
        <f aca="false">SUMIFS(AHSP!$L$5:$L$3000,AHSP!$I$5:$I$3000,"VI",AHSP!$C$5:$C$3000,B77,AHSP!$J$5:$J$3000,"Upah")</f>
        <v>0</v>
      </c>
      <c r="D77" s="45" t="n">
        <f aca="false">INDEX('Perhitungan Upah'!$C$5:$C$13,MATCH(B77,'Perhitungan Upah'!$B$5:$B$13,0))</f>
        <v>198900</v>
      </c>
      <c r="E77" s="46" t="n">
        <f aca="false">C77*D77</f>
        <v>0</v>
      </c>
    </row>
    <row r="78" customFormat="false" ht="15" hidden="true" customHeight="true" outlineLevel="0" collapsed="false">
      <c r="A78" s="20" t="s">
        <v>520</v>
      </c>
      <c r="B78" s="37" t="s">
        <v>505</v>
      </c>
      <c r="C78" s="75" t="n">
        <f aca="false">SUMIFS(AHSP!$L$5:$L$3000,AHSP!$I$5:$I$3000,"VI",AHSP!$C$5:$C$3000,B78,AHSP!$J$5:$J$3000,"Upah")</f>
        <v>0</v>
      </c>
      <c r="D78" s="21" t="n">
        <f aca="false">INDEX('Perhitungan Upah'!$C$5:$C$13,MATCH(B78,'Perhitungan Upah'!$B$5:$B$13,0))</f>
        <v>228300</v>
      </c>
      <c r="E78" s="26" t="n">
        <f aca="false">C78*D78</f>
        <v>0</v>
      </c>
    </row>
    <row r="79" customFormat="false" ht="15" hidden="false" customHeight="true" outlineLevel="0" collapsed="false">
      <c r="A79" s="35" t="s">
        <v>36</v>
      </c>
      <c r="B79" s="35"/>
      <c r="C79" s="74" t="n">
        <f aca="false">SUM(C80:C88)</f>
        <v>30.9025</v>
      </c>
      <c r="D79" s="35"/>
      <c r="E79" s="36" t="n">
        <f aca="false">SUM(E80:E88)</f>
        <v>4915291.45</v>
      </c>
    </row>
    <row r="80" customFormat="false" ht="15" hidden="false" customHeight="true" outlineLevel="0" collapsed="false">
      <c r="A80" s="20" t="s">
        <v>512</v>
      </c>
      <c r="B80" s="37" t="s">
        <v>488</v>
      </c>
      <c r="C80" s="75" t="n">
        <f aca="false">SUMIFS(AHSP!$L$5:$L$3000,AHSP!$I$5:$I$3000,"VII",AHSP!$C$5:$C$3000,B80,AHSP!$J$5:$J$3000,"Upah")</f>
        <v>11.2035</v>
      </c>
      <c r="D80" s="21" t="n">
        <f aca="false">INDEX('Perhitungan Upah'!$C$5:$C$13,MATCH(B80,'Perhitungan Upah'!$B$5:$B$13,0))</f>
        <v>130500</v>
      </c>
      <c r="E80" s="26" t="n">
        <f aca="false">C80*D80</f>
        <v>1462056.75</v>
      </c>
    </row>
    <row r="81" customFormat="false" ht="15" hidden="false" customHeight="true" outlineLevel="0" collapsed="false">
      <c r="A81" s="42" t="s">
        <v>513</v>
      </c>
      <c r="B81" s="41" t="s">
        <v>491</v>
      </c>
      <c r="C81" s="76" t="n">
        <f aca="false">SUMIFS(AHSP!$L$5:$L$3000,AHSP!$I$5:$I$3000,"VII",AHSP!$C$5:$C$3000,B81,AHSP!$J$5:$J$3000,"Upah")</f>
        <v>19.699</v>
      </c>
      <c r="D81" s="45" t="n">
        <f aca="false">INDEX('Perhitungan Upah'!$C$5:$C$13,MATCH(B81,'Perhitungan Upah'!$B$5:$B$13,0))</f>
        <v>175300</v>
      </c>
      <c r="E81" s="46" t="n">
        <f aca="false">C81*D81</f>
        <v>3453234.7</v>
      </c>
    </row>
    <row r="82" customFormat="false" ht="15" hidden="true" customHeight="true" outlineLevel="0" collapsed="false">
      <c r="A82" s="20" t="s">
        <v>514</v>
      </c>
      <c r="B82" s="37" t="s">
        <v>493</v>
      </c>
      <c r="C82" s="75" t="n">
        <f aca="false">SUMIFS(AHSP!$L$5:$L$3000,AHSP!$I$5:$I$3000,"VII",AHSP!$C$5:$C$3000,B82,AHSP!$J$5:$J$3000,"Upah")</f>
        <v>0</v>
      </c>
      <c r="D82" s="21" t="n">
        <f aca="false">INDEX('Perhitungan Upah'!$C$5:$C$13,MATCH(B82,'Perhitungan Upah'!$B$5:$B$13,0))</f>
        <v>174700</v>
      </c>
      <c r="E82" s="26" t="n">
        <f aca="false">C82*D82</f>
        <v>0</v>
      </c>
    </row>
    <row r="83" customFormat="false" ht="15" hidden="true" customHeight="true" outlineLevel="0" collapsed="false">
      <c r="A83" s="42" t="s">
        <v>515</v>
      </c>
      <c r="B83" s="41" t="s">
        <v>495</v>
      </c>
      <c r="C83" s="76" t="n">
        <f aca="false">SUMIFS(AHSP!$L$5:$L$3000,AHSP!$I$5:$I$3000,"VII",AHSP!$C$5:$C$3000,B83,AHSP!$J$5:$J$3000,"Upah")</f>
        <v>0</v>
      </c>
      <c r="D83" s="45" t="n">
        <f aca="false">INDEX('Perhitungan Upah'!$C$5:$C$13,MATCH(B83,'Perhitungan Upah'!$B$5:$B$13,0))</f>
        <v>174700</v>
      </c>
      <c r="E83" s="46" t="n">
        <f aca="false">C83*D83</f>
        <v>0</v>
      </c>
    </row>
    <row r="84" customFormat="false" ht="15" hidden="true" customHeight="true" outlineLevel="0" collapsed="false">
      <c r="A84" s="20" t="s">
        <v>516</v>
      </c>
      <c r="B84" s="37" t="s">
        <v>497</v>
      </c>
      <c r="C84" s="75" t="n">
        <f aca="false">SUMIFS(AHSP!$L$5:$L$3000,AHSP!$I$5:$I$3000,"VII",AHSP!$C$5:$C$3000,B84,AHSP!$J$5:$J$3000,"Upah")</f>
        <v>0</v>
      </c>
      <c r="D84" s="21" t="n">
        <f aca="false">INDEX('Perhitungan Upah'!$C$5:$C$13,MATCH(B84,'Perhitungan Upah'!$B$5:$B$13,0))</f>
        <v>165000</v>
      </c>
      <c r="E84" s="26" t="n">
        <f aca="false">C84*D84</f>
        <v>0</v>
      </c>
    </row>
    <row r="85" customFormat="false" ht="15" hidden="true" customHeight="true" outlineLevel="0" collapsed="false">
      <c r="A85" s="42" t="s">
        <v>517</v>
      </c>
      <c r="B85" s="41" t="s">
        <v>499</v>
      </c>
      <c r="C85" s="76" t="n">
        <f aca="false">SUMIFS(AHSP!$L$5:$L$3000,AHSP!$I$5:$I$3000,"VII",AHSP!$C$5:$C$3000,B85,AHSP!$J$5:$J$3000,"Upah")</f>
        <v>0</v>
      </c>
      <c r="D85" s="45" t="n">
        <f aca="false">INDEX('Perhitungan Upah'!$C$5:$C$13,MATCH(B85,'Perhitungan Upah'!$B$5:$B$13,0))</f>
        <v>182800</v>
      </c>
      <c r="E85" s="46" t="n">
        <f aca="false">C85*D85</f>
        <v>0</v>
      </c>
    </row>
    <row r="86" customFormat="false" ht="15" hidden="true" customHeight="true" outlineLevel="0" collapsed="false">
      <c r="A86" s="20" t="s">
        <v>518</v>
      </c>
      <c r="B86" s="37" t="s">
        <v>501</v>
      </c>
      <c r="C86" s="75" t="n">
        <f aca="false">SUMIFS(AHSP!$L$5:$L$3000,AHSP!$I$5:$I$3000,"VII",AHSP!$C$5:$C$3000,B86,AHSP!$J$5:$J$3000,"Upah")</f>
        <v>0</v>
      </c>
      <c r="D86" s="21" t="n">
        <f aca="false">INDEX('Perhitungan Upah'!$C$5:$C$13,MATCH(B86,'Perhitungan Upah'!$B$5:$B$13,0))</f>
        <v>184400</v>
      </c>
      <c r="E86" s="26" t="n">
        <f aca="false">C86*D86</f>
        <v>0</v>
      </c>
    </row>
    <row r="87" customFormat="false" ht="15" hidden="true" customHeight="true" outlineLevel="0" collapsed="false">
      <c r="A87" s="42" t="s">
        <v>519</v>
      </c>
      <c r="B87" s="41" t="s">
        <v>503</v>
      </c>
      <c r="C87" s="76" t="n">
        <f aca="false">SUMIFS(AHSP!$L$5:$L$3000,AHSP!$I$5:$I$3000,"VII",AHSP!$C$5:$C$3000,B87,AHSP!$J$5:$J$3000,"Upah")</f>
        <v>0</v>
      </c>
      <c r="D87" s="45" t="n">
        <f aca="false">INDEX('Perhitungan Upah'!$C$5:$C$13,MATCH(B87,'Perhitungan Upah'!$B$5:$B$13,0))</f>
        <v>198900</v>
      </c>
      <c r="E87" s="46" t="n">
        <f aca="false">C87*D87</f>
        <v>0</v>
      </c>
    </row>
    <row r="88" customFormat="false" ht="15" hidden="true" customHeight="true" outlineLevel="0" collapsed="false">
      <c r="A88" s="20" t="s">
        <v>520</v>
      </c>
      <c r="B88" s="37" t="s">
        <v>505</v>
      </c>
      <c r="C88" s="75" t="n">
        <f aca="false">SUMIFS(AHSP!$L$5:$L$3000,AHSP!$I$5:$I$3000,"VII",AHSP!$C$5:$C$3000,B88,AHSP!$J$5:$J$3000,"Upah")</f>
        <v>0</v>
      </c>
      <c r="D88" s="21" t="n">
        <f aca="false">INDEX('Perhitungan Upah'!$C$5:$C$13,MATCH(B88,'Perhitungan Upah'!$B$5:$B$13,0))</f>
        <v>228300</v>
      </c>
      <c r="E88" s="26" t="n">
        <f aca="false">C88*D88</f>
        <v>0</v>
      </c>
    </row>
    <row r="89" customFormat="false" ht="15" hidden="false" customHeight="true" outlineLevel="0" collapsed="false">
      <c r="A89" s="35" t="s">
        <v>37</v>
      </c>
      <c r="B89" s="35"/>
      <c r="C89" s="74" t="n">
        <f aca="false">SUM(C90:C98)</f>
        <v>5.2</v>
      </c>
      <c r="D89" s="35"/>
      <c r="E89" s="36" t="n">
        <f aca="false">SUM(E90:E98)</f>
        <v>855400</v>
      </c>
    </row>
    <row r="90" customFormat="false" ht="15" hidden="false" customHeight="true" outlineLevel="0" collapsed="false">
      <c r="A90" s="20" t="s">
        <v>512</v>
      </c>
      <c r="B90" s="37" t="s">
        <v>488</v>
      </c>
      <c r="C90" s="75" t="n">
        <f aca="false">SUMIFS(AHSP!$L$5:$L$3000,AHSP!$I$5:$I$3000,"VIII",AHSP!$C$5:$C$3000,B90,AHSP!$J$5:$J$3000,"Upah")</f>
        <v>1.2</v>
      </c>
      <c r="D90" s="21" t="n">
        <f aca="false">INDEX('Perhitungan Upah'!$C$5:$C$13,MATCH(B90,'Perhitungan Upah'!$B$5:$B$13,0))</f>
        <v>130500</v>
      </c>
      <c r="E90" s="26" t="n">
        <f aca="false">C90*D90</f>
        <v>156600</v>
      </c>
    </row>
    <row r="91" customFormat="false" ht="15" hidden="true" customHeight="true" outlineLevel="0" collapsed="false">
      <c r="A91" s="42" t="s">
        <v>513</v>
      </c>
      <c r="B91" s="41" t="s">
        <v>491</v>
      </c>
      <c r="C91" s="76" t="n">
        <f aca="false">SUMIFS(AHSP!$L$5:$L$3000,AHSP!$I$5:$I$3000,"VIII",AHSP!$C$5:$C$3000,B91,AHSP!$J$5:$J$3000,"Upah")</f>
        <v>0</v>
      </c>
      <c r="D91" s="45" t="n">
        <f aca="false">INDEX('Perhitungan Upah'!$C$5:$C$13,MATCH(B91,'Perhitungan Upah'!$B$5:$B$13,0))</f>
        <v>175300</v>
      </c>
      <c r="E91" s="46" t="n">
        <f aca="false">C91*D91</f>
        <v>0</v>
      </c>
    </row>
    <row r="92" customFormat="false" ht="15" hidden="false" customHeight="true" outlineLevel="0" collapsed="false">
      <c r="A92" s="20" t="s">
        <v>514</v>
      </c>
      <c r="B92" s="37" t="s">
        <v>493</v>
      </c>
      <c r="C92" s="75" t="n">
        <f aca="false">SUMIFS(AHSP!$L$5:$L$3000,AHSP!$I$5:$I$3000,"VIII",AHSP!$C$5:$C$3000,B92,AHSP!$J$5:$J$3000,"Upah")</f>
        <v>4</v>
      </c>
      <c r="D92" s="21" t="n">
        <f aca="false">INDEX('Perhitungan Upah'!$C$5:$C$13,MATCH(B92,'Perhitungan Upah'!$B$5:$B$13,0))</f>
        <v>174700</v>
      </c>
      <c r="E92" s="26" t="n">
        <f aca="false">C92*D92</f>
        <v>698800</v>
      </c>
    </row>
    <row r="93" customFormat="false" ht="15" hidden="true" customHeight="true" outlineLevel="0" collapsed="false">
      <c r="A93" s="42" t="s">
        <v>515</v>
      </c>
      <c r="B93" s="41" t="s">
        <v>495</v>
      </c>
      <c r="C93" s="76" t="n">
        <f aca="false">SUMIFS(AHSP!$L$5:$L$3000,AHSP!$I$5:$I$3000,"VIII",AHSP!$C$5:$C$3000,B93,AHSP!$J$5:$J$3000,"Upah")</f>
        <v>0</v>
      </c>
      <c r="D93" s="45" t="n">
        <f aca="false">INDEX('Perhitungan Upah'!$C$5:$C$13,MATCH(B93,'Perhitungan Upah'!$B$5:$B$13,0))</f>
        <v>174700</v>
      </c>
      <c r="E93" s="46" t="n">
        <f aca="false">C93*D93</f>
        <v>0</v>
      </c>
    </row>
    <row r="94" customFormat="false" ht="15" hidden="true" customHeight="true" outlineLevel="0" collapsed="false">
      <c r="A94" s="20" t="s">
        <v>516</v>
      </c>
      <c r="B94" s="37" t="s">
        <v>497</v>
      </c>
      <c r="C94" s="75" t="n">
        <f aca="false">SUMIFS(AHSP!$L$5:$L$3000,AHSP!$I$5:$I$3000,"VIII",AHSP!$C$5:$C$3000,B94,AHSP!$J$5:$J$3000,"Upah")</f>
        <v>0</v>
      </c>
      <c r="D94" s="21" t="n">
        <f aca="false">INDEX('Perhitungan Upah'!$C$5:$C$13,MATCH(B94,'Perhitungan Upah'!$B$5:$B$13,0))</f>
        <v>165000</v>
      </c>
      <c r="E94" s="26" t="n">
        <f aca="false">C94*D94</f>
        <v>0</v>
      </c>
    </row>
    <row r="95" customFormat="false" ht="15" hidden="true" customHeight="true" outlineLevel="0" collapsed="false">
      <c r="A95" s="42" t="s">
        <v>517</v>
      </c>
      <c r="B95" s="41" t="s">
        <v>499</v>
      </c>
      <c r="C95" s="76" t="n">
        <f aca="false">SUMIFS(AHSP!$L$5:$L$3000,AHSP!$I$5:$I$3000,"VIII",AHSP!$C$5:$C$3000,B95,AHSP!$J$5:$J$3000,"Upah")</f>
        <v>0</v>
      </c>
      <c r="D95" s="45" t="n">
        <f aca="false">INDEX('Perhitungan Upah'!$C$5:$C$13,MATCH(B95,'Perhitungan Upah'!$B$5:$B$13,0))</f>
        <v>182800</v>
      </c>
      <c r="E95" s="46" t="n">
        <f aca="false">C95*D95</f>
        <v>0</v>
      </c>
    </row>
    <row r="96" customFormat="false" ht="15" hidden="true" customHeight="true" outlineLevel="0" collapsed="false">
      <c r="A96" s="20" t="s">
        <v>518</v>
      </c>
      <c r="B96" s="37" t="s">
        <v>501</v>
      </c>
      <c r="C96" s="75" t="n">
        <f aca="false">SUMIFS(AHSP!$L$5:$L$3000,AHSP!$I$5:$I$3000,"VIII",AHSP!$C$5:$C$3000,B96,AHSP!$J$5:$J$3000,"Upah")</f>
        <v>0</v>
      </c>
      <c r="D96" s="21" t="n">
        <f aca="false">INDEX('Perhitungan Upah'!$C$5:$C$13,MATCH(B96,'Perhitungan Upah'!$B$5:$B$13,0))</f>
        <v>184400</v>
      </c>
      <c r="E96" s="26" t="n">
        <f aca="false">C96*D96</f>
        <v>0</v>
      </c>
    </row>
    <row r="97" customFormat="false" ht="15" hidden="true" customHeight="true" outlineLevel="0" collapsed="false">
      <c r="A97" s="42" t="s">
        <v>519</v>
      </c>
      <c r="B97" s="41" t="s">
        <v>503</v>
      </c>
      <c r="C97" s="76" t="n">
        <f aca="false">SUMIFS(AHSP!$L$5:$L$3000,AHSP!$I$5:$I$3000,"VIII",AHSP!$C$5:$C$3000,B97,AHSP!$J$5:$J$3000,"Upah")</f>
        <v>0</v>
      </c>
      <c r="D97" s="45" t="n">
        <f aca="false">INDEX('Perhitungan Upah'!$C$5:$C$13,MATCH(B97,'Perhitungan Upah'!$B$5:$B$13,0))</f>
        <v>198900</v>
      </c>
      <c r="E97" s="46" t="n">
        <f aca="false">C97*D97</f>
        <v>0</v>
      </c>
    </row>
    <row r="98" customFormat="false" ht="15" hidden="true" customHeight="true" outlineLevel="0" collapsed="false">
      <c r="A98" s="20" t="s">
        <v>520</v>
      </c>
      <c r="B98" s="37" t="s">
        <v>505</v>
      </c>
      <c r="C98" s="75" t="n">
        <f aca="false">SUMIFS(AHSP!$L$5:$L$3000,AHSP!$I$5:$I$3000,"VIII",AHSP!$C$5:$C$3000,B98,AHSP!$J$5:$J$3000,"Upah")</f>
        <v>0</v>
      </c>
      <c r="D98" s="21" t="n">
        <f aca="false">INDEX('Perhitungan Upah'!$C$5:$C$13,MATCH(B98,'Perhitungan Upah'!$B$5:$B$13,0))</f>
        <v>228300</v>
      </c>
      <c r="E98" s="26" t="n">
        <f aca="false">C98*D98</f>
        <v>0</v>
      </c>
    </row>
    <row r="99" customFormat="false" ht="15" hidden="false" customHeight="true" outlineLevel="0" collapsed="false">
      <c r="A99" s="35" t="s">
        <v>38</v>
      </c>
      <c r="B99" s="35"/>
      <c r="C99" s="74" t="n">
        <f aca="false">SUM(C100:C108)</f>
        <v>22.3177095848089</v>
      </c>
      <c r="D99" s="35"/>
      <c r="E99" s="36" t="n">
        <f aca="false">SUM(E100:E108)</f>
        <v>3605068.60833776</v>
      </c>
    </row>
    <row r="100" customFormat="false" ht="15" hidden="false" customHeight="true" outlineLevel="0" collapsed="false">
      <c r="A100" s="20" t="s">
        <v>512</v>
      </c>
      <c r="B100" s="37" t="s">
        <v>488</v>
      </c>
      <c r="C100" s="75" t="n">
        <f aca="false">SUMIFS(AHSP!$L$5:$L$3000,AHSP!$I$5:$I$3000,"IX",AHSP!$C$5:$C$3000,B100,AHSP!$J$5:$J$3000,"Upah")</f>
        <v>4.86224609690827</v>
      </c>
      <c r="D100" s="21" t="n">
        <f aca="false">INDEX('Perhitungan Upah'!$C$5:$C$13,MATCH(B100,'Perhitungan Upah'!$B$5:$B$13,0))</f>
        <v>130500</v>
      </c>
      <c r="E100" s="26" t="n">
        <f aca="false">C100*D100</f>
        <v>634523.115646529</v>
      </c>
    </row>
    <row r="101" customFormat="false" ht="15" hidden="true" customHeight="true" outlineLevel="0" collapsed="false">
      <c r="A101" s="42" t="s">
        <v>513</v>
      </c>
      <c r="B101" s="41" t="s">
        <v>491</v>
      </c>
      <c r="C101" s="76" t="n">
        <f aca="false">SUMIFS(AHSP!$L$5:$L$3000,AHSP!$I$5:$I$3000,"IX",AHSP!$C$5:$C$3000,B101,AHSP!$J$5:$J$3000,"Upah")</f>
        <v>0</v>
      </c>
      <c r="D101" s="45" t="n">
        <f aca="false">INDEX('Perhitungan Upah'!$C$5:$C$13,MATCH(B101,'Perhitungan Upah'!$B$5:$B$13,0))</f>
        <v>175300</v>
      </c>
      <c r="E101" s="46" t="n">
        <f aca="false">C101*D101</f>
        <v>0</v>
      </c>
    </row>
    <row r="102" customFormat="false" ht="15" hidden="true" customHeight="true" outlineLevel="0" collapsed="false">
      <c r="A102" s="20" t="s">
        <v>514</v>
      </c>
      <c r="B102" s="37" t="s">
        <v>493</v>
      </c>
      <c r="C102" s="75" t="n">
        <f aca="false">SUMIFS(AHSP!$L$5:$L$3000,AHSP!$I$5:$I$3000,"IX",AHSP!$C$5:$C$3000,B102,AHSP!$J$5:$J$3000,"Upah")</f>
        <v>0</v>
      </c>
      <c r="D102" s="21" t="n">
        <f aca="false">INDEX('Perhitungan Upah'!$C$5:$C$13,MATCH(B102,'Perhitungan Upah'!$B$5:$B$13,0))</f>
        <v>174700</v>
      </c>
      <c r="E102" s="26" t="n">
        <f aca="false">C102*D102</f>
        <v>0</v>
      </c>
    </row>
    <row r="103" customFormat="false" ht="15" hidden="true" customHeight="true" outlineLevel="0" collapsed="false">
      <c r="A103" s="42" t="s">
        <v>515</v>
      </c>
      <c r="B103" s="41" t="s">
        <v>495</v>
      </c>
      <c r="C103" s="76" t="n">
        <f aca="false">SUMIFS(AHSP!$L$5:$L$3000,AHSP!$I$5:$I$3000,"IX",AHSP!$C$5:$C$3000,B103,AHSP!$J$5:$J$3000,"Upah")</f>
        <v>0</v>
      </c>
      <c r="D103" s="45" t="n">
        <f aca="false">INDEX('Perhitungan Upah'!$C$5:$C$13,MATCH(B103,'Perhitungan Upah'!$B$5:$B$13,0))</f>
        <v>174700</v>
      </c>
      <c r="E103" s="46" t="n">
        <f aca="false">C103*D103</f>
        <v>0</v>
      </c>
    </row>
    <row r="104" customFormat="false" ht="15" hidden="false" customHeight="true" outlineLevel="0" collapsed="false">
      <c r="A104" s="20" t="s">
        <v>516</v>
      </c>
      <c r="B104" s="37" t="s">
        <v>497</v>
      </c>
      <c r="C104" s="75" t="n">
        <f aca="false">SUMIFS(AHSP!$L$5:$L$3000,AHSP!$I$5:$I$3000,"IX",AHSP!$C$5:$C$3000,B104,AHSP!$J$5:$J$3000,"Upah")</f>
        <v>15.316075205261</v>
      </c>
      <c r="D104" s="21" t="n">
        <f aca="false">INDEX('Perhitungan Upah'!$C$5:$C$13,MATCH(B104,'Perhitungan Upah'!$B$5:$B$13,0))</f>
        <v>165000</v>
      </c>
      <c r="E104" s="26" t="n">
        <f aca="false">C104*D104</f>
        <v>2527152.40886807</v>
      </c>
    </row>
    <row r="105" customFormat="false" ht="15" hidden="true" customHeight="true" outlineLevel="0" collapsed="false">
      <c r="A105" s="42" t="s">
        <v>517</v>
      </c>
      <c r="B105" s="41" t="s">
        <v>499</v>
      </c>
      <c r="C105" s="76" t="n">
        <f aca="false">SUMIFS(AHSP!$L$5:$L$3000,AHSP!$I$5:$I$3000,"IX",AHSP!$C$5:$C$3000,B105,AHSP!$J$5:$J$3000,"Upah")</f>
        <v>0</v>
      </c>
      <c r="D105" s="45" t="n">
        <f aca="false">INDEX('Perhitungan Upah'!$C$5:$C$13,MATCH(B105,'Perhitungan Upah'!$B$5:$B$13,0))</f>
        <v>182800</v>
      </c>
      <c r="E105" s="46" t="n">
        <f aca="false">C105*D105</f>
        <v>0</v>
      </c>
    </row>
    <row r="106" customFormat="false" ht="15" hidden="true" customHeight="true" outlineLevel="0" collapsed="false">
      <c r="A106" s="20" t="s">
        <v>518</v>
      </c>
      <c r="B106" s="37" t="s">
        <v>501</v>
      </c>
      <c r="C106" s="75" t="n">
        <f aca="false">SUMIFS(AHSP!$L$5:$L$3000,AHSP!$I$5:$I$3000,"IX",AHSP!$C$5:$C$3000,B106,AHSP!$J$5:$J$3000,"Upah")</f>
        <v>0</v>
      </c>
      <c r="D106" s="21" t="n">
        <f aca="false">INDEX('Perhitungan Upah'!$C$5:$C$13,MATCH(B106,'Perhitungan Upah'!$B$5:$B$13,0))</f>
        <v>184400</v>
      </c>
      <c r="E106" s="26" t="n">
        <f aca="false">C106*D106</f>
        <v>0</v>
      </c>
    </row>
    <row r="107" customFormat="false" ht="15" hidden="false" customHeight="true" outlineLevel="0" collapsed="false">
      <c r="A107" s="42" t="s">
        <v>519</v>
      </c>
      <c r="B107" s="41" t="s">
        <v>503</v>
      </c>
      <c r="C107" s="76" t="n">
        <f aca="false">SUMIFS(AHSP!$L$5:$L$3000,AHSP!$I$5:$I$3000,"IX",AHSP!$C$5:$C$3000,B107,AHSP!$J$5:$J$3000,"Upah")</f>
        <v>1.5316075205261</v>
      </c>
      <c r="D107" s="45" t="n">
        <f aca="false">INDEX('Perhitungan Upah'!$C$5:$C$13,MATCH(B107,'Perhitungan Upah'!$B$5:$B$13,0))</f>
        <v>198900</v>
      </c>
      <c r="E107" s="46" t="n">
        <f aca="false">C107*D107</f>
        <v>304636.735832642</v>
      </c>
    </row>
    <row r="108" customFormat="false" ht="15" hidden="false" customHeight="true" outlineLevel="0" collapsed="false">
      <c r="A108" s="20" t="s">
        <v>520</v>
      </c>
      <c r="B108" s="37" t="s">
        <v>505</v>
      </c>
      <c r="C108" s="75" t="n">
        <f aca="false">SUMIFS(AHSP!$L$5:$L$3000,AHSP!$I$5:$I$3000,"IX",AHSP!$C$5:$C$3000,B108,AHSP!$J$5:$J$3000,"Upah")</f>
        <v>0.607780762113533</v>
      </c>
      <c r="D108" s="21" t="n">
        <f aca="false">INDEX('Perhitungan Upah'!$C$5:$C$13,MATCH(B108,'Perhitungan Upah'!$B$5:$B$13,0))</f>
        <v>228300</v>
      </c>
      <c r="E108" s="26" t="n">
        <f aca="false">C108*D108</f>
        <v>138756.34799052</v>
      </c>
    </row>
    <row r="109" customFormat="false" ht="15" hidden="false" customHeight="true" outlineLevel="0" collapsed="false">
      <c r="A109" s="35" t="s">
        <v>39</v>
      </c>
      <c r="B109" s="35"/>
      <c r="C109" s="74" t="n">
        <f aca="false">SUM(C110:C118)</f>
        <v>13.5976</v>
      </c>
      <c r="D109" s="35"/>
      <c r="E109" s="36" t="n">
        <f aca="false">SUM(E110:E118)</f>
        <v>2291159.68</v>
      </c>
    </row>
    <row r="110" customFormat="false" ht="15" hidden="false" customHeight="true" outlineLevel="0" collapsed="false">
      <c r="A110" s="20" t="s">
        <v>512</v>
      </c>
      <c r="B110" s="37" t="s">
        <v>488</v>
      </c>
      <c r="C110" s="75" t="n">
        <f aca="false">SUMIFS(AHSP!$L$5:$L$3000,AHSP!$I$5:$I$3000,"X",AHSP!$C$5:$C$3000,B110,AHSP!$J$5:$J$3000,"Upah")</f>
        <v>4.172</v>
      </c>
      <c r="D110" s="21" t="n">
        <f aca="false">INDEX('Perhitungan Upah'!$C$5:$C$13,MATCH(B110,'Perhitungan Upah'!$B$5:$B$13,0))</f>
        <v>130500</v>
      </c>
      <c r="E110" s="26" t="n">
        <f aca="false">C110*D110</f>
        <v>544446</v>
      </c>
    </row>
    <row r="111" customFormat="false" ht="15" hidden="true" customHeight="true" outlineLevel="0" collapsed="false">
      <c r="A111" s="42" t="s">
        <v>513</v>
      </c>
      <c r="B111" s="41" t="s">
        <v>491</v>
      </c>
      <c r="C111" s="76" t="n">
        <f aca="false">SUMIFS(AHSP!$L$5:$L$3000,AHSP!$I$5:$I$3000,"X",AHSP!$C$5:$C$3000,B111,AHSP!$J$5:$J$3000,"Upah")</f>
        <v>0</v>
      </c>
      <c r="D111" s="45" t="n">
        <f aca="false">INDEX('Perhitungan Upah'!$C$5:$C$13,MATCH(B111,'Perhitungan Upah'!$B$5:$B$13,0))</f>
        <v>175300</v>
      </c>
      <c r="E111" s="46" t="n">
        <f aca="false">C111*D111</f>
        <v>0</v>
      </c>
    </row>
    <row r="112" customFormat="false" ht="15" hidden="true" customHeight="true" outlineLevel="0" collapsed="false">
      <c r="A112" s="20" t="s">
        <v>514</v>
      </c>
      <c r="B112" s="37" t="s">
        <v>493</v>
      </c>
      <c r="C112" s="75" t="n">
        <f aca="false">SUMIFS(AHSP!$L$5:$L$3000,AHSP!$I$5:$I$3000,"X",AHSP!$C$5:$C$3000,B112,AHSP!$J$5:$J$3000,"Upah")</f>
        <v>0</v>
      </c>
      <c r="D112" s="21" t="n">
        <f aca="false">INDEX('Perhitungan Upah'!$C$5:$C$13,MATCH(B112,'Perhitungan Upah'!$B$5:$B$13,0))</f>
        <v>174700</v>
      </c>
      <c r="E112" s="26" t="n">
        <f aca="false">C112*D112</f>
        <v>0</v>
      </c>
    </row>
    <row r="113" customFormat="false" ht="15" hidden="true" customHeight="true" outlineLevel="0" collapsed="false">
      <c r="A113" s="42" t="s">
        <v>515</v>
      </c>
      <c r="B113" s="41" t="s">
        <v>495</v>
      </c>
      <c r="C113" s="76" t="n">
        <f aca="false">SUMIFS(AHSP!$L$5:$L$3000,AHSP!$I$5:$I$3000,"X",AHSP!$C$5:$C$3000,B113,AHSP!$J$5:$J$3000,"Upah")</f>
        <v>0</v>
      </c>
      <c r="D113" s="45" t="n">
        <f aca="false">INDEX('Perhitungan Upah'!$C$5:$C$13,MATCH(B113,'Perhitungan Upah'!$B$5:$B$13,0))</f>
        <v>174700</v>
      </c>
      <c r="E113" s="46" t="n">
        <f aca="false">C113*D113</f>
        <v>0</v>
      </c>
    </row>
    <row r="114" customFormat="false" ht="15" hidden="true" customHeight="true" outlineLevel="0" collapsed="false">
      <c r="A114" s="20" t="s">
        <v>516</v>
      </c>
      <c r="B114" s="37" t="s">
        <v>497</v>
      </c>
      <c r="C114" s="75" t="n">
        <f aca="false">SUMIFS(AHSP!$L$5:$L$3000,AHSP!$I$5:$I$3000,"X",AHSP!$C$5:$C$3000,B114,AHSP!$J$5:$J$3000,"Upah")</f>
        <v>0</v>
      </c>
      <c r="D114" s="21" t="n">
        <f aca="false">INDEX('Perhitungan Upah'!$C$5:$C$13,MATCH(B114,'Perhitungan Upah'!$B$5:$B$13,0))</f>
        <v>165000</v>
      </c>
      <c r="E114" s="26" t="n">
        <f aca="false">C114*D114</f>
        <v>0</v>
      </c>
    </row>
    <row r="115" customFormat="false" ht="15" hidden="true" customHeight="true" outlineLevel="0" collapsed="false">
      <c r="A115" s="42" t="s">
        <v>517</v>
      </c>
      <c r="B115" s="41" t="s">
        <v>499</v>
      </c>
      <c r="C115" s="76" t="n">
        <f aca="false">SUMIFS(AHSP!$L$5:$L$3000,AHSP!$I$5:$I$3000,"X",AHSP!$C$5:$C$3000,B115,AHSP!$J$5:$J$3000,"Upah")</f>
        <v>0</v>
      </c>
      <c r="D115" s="45" t="n">
        <f aca="false">INDEX('Perhitungan Upah'!$C$5:$C$13,MATCH(B115,'Perhitungan Upah'!$B$5:$B$13,0))</f>
        <v>182800</v>
      </c>
      <c r="E115" s="46" t="n">
        <f aca="false">C115*D115</f>
        <v>0</v>
      </c>
    </row>
    <row r="116" customFormat="false" ht="15" hidden="false" customHeight="true" outlineLevel="0" collapsed="false">
      <c r="A116" s="20" t="s">
        <v>518</v>
      </c>
      <c r="B116" s="37" t="s">
        <v>501</v>
      </c>
      <c r="C116" s="75" t="n">
        <f aca="false">SUMIFS(AHSP!$L$5:$L$3000,AHSP!$I$5:$I$3000,"X",AHSP!$C$5:$C$3000,B116,AHSP!$J$5:$J$3000,"Upah")</f>
        <v>9.02</v>
      </c>
      <c r="D116" s="21" t="n">
        <f aca="false">INDEX('Perhitungan Upah'!$C$5:$C$13,MATCH(B116,'Perhitungan Upah'!$B$5:$B$13,0))</f>
        <v>184400</v>
      </c>
      <c r="E116" s="26" t="n">
        <f aca="false">C116*D116</f>
        <v>1663288</v>
      </c>
    </row>
    <row r="117" customFormat="false" ht="15" hidden="false" customHeight="true" outlineLevel="0" collapsed="false">
      <c r="A117" s="42" t="s">
        <v>519</v>
      </c>
      <c r="B117" s="41" t="s">
        <v>503</v>
      </c>
      <c r="C117" s="76" t="n">
        <f aca="false">SUMIFS(AHSP!$L$5:$L$3000,AHSP!$I$5:$I$3000,"X",AHSP!$C$5:$C$3000,B117,AHSP!$J$5:$J$3000,"Upah")</f>
        <v>0.312</v>
      </c>
      <c r="D117" s="45" t="n">
        <f aca="false">INDEX('Perhitungan Upah'!$C$5:$C$13,MATCH(B117,'Perhitungan Upah'!$B$5:$B$13,0))</f>
        <v>198900</v>
      </c>
      <c r="E117" s="46" t="n">
        <f aca="false">C117*D117</f>
        <v>62056.8</v>
      </c>
    </row>
    <row r="118" customFormat="false" ht="15" hidden="false" customHeight="true" outlineLevel="0" collapsed="false">
      <c r="A118" s="20" t="s">
        <v>520</v>
      </c>
      <c r="B118" s="37" t="s">
        <v>505</v>
      </c>
      <c r="C118" s="75" t="n">
        <f aca="false">SUMIFS(AHSP!$L$5:$L$3000,AHSP!$I$5:$I$3000,"X",AHSP!$C$5:$C$3000,B118,AHSP!$J$5:$J$3000,"Upah")</f>
        <v>0.0936</v>
      </c>
      <c r="D118" s="21" t="n">
        <f aca="false">INDEX('Perhitungan Upah'!$C$5:$C$13,MATCH(B118,'Perhitungan Upah'!$B$5:$B$13,0))</f>
        <v>228300</v>
      </c>
      <c r="E118" s="26" t="n">
        <f aca="false">C118*D118</f>
        <v>21368.88</v>
      </c>
    </row>
    <row r="119" customFormat="false" ht="15" hidden="false" customHeight="true" outlineLevel="0" collapsed="false">
      <c r="A119" s="35" t="s">
        <v>40</v>
      </c>
      <c r="B119" s="35"/>
      <c r="C119" s="74" t="n">
        <f aca="false">SUM(C120:C128)</f>
        <v>14.9</v>
      </c>
      <c r="D119" s="35"/>
      <c r="E119" s="36" t="n">
        <f aca="false">SUM(E120:E128)</f>
        <v>2409920</v>
      </c>
    </row>
    <row r="120" customFormat="false" ht="15" hidden="false" customHeight="true" outlineLevel="0" collapsed="false">
      <c r="A120" s="20" t="s">
        <v>512</v>
      </c>
      <c r="B120" s="37" t="s">
        <v>488</v>
      </c>
      <c r="C120" s="75" t="n">
        <f aca="false">SUMIFS(AHSP!$L$5:$L$3000,AHSP!$I$5:$I$3000,"XI",AHSP!$C$5:$C$3000,B120,AHSP!$J$5:$J$3000,"Upah")</f>
        <v>6</v>
      </c>
      <c r="D120" s="21" t="n">
        <f aca="false">INDEX('Perhitungan Upah'!$C$5:$C$13,MATCH(B120,'Perhitungan Upah'!$B$5:$B$13,0))</f>
        <v>130500</v>
      </c>
      <c r="E120" s="26" t="n">
        <f aca="false">C120*D120</f>
        <v>783000</v>
      </c>
    </row>
    <row r="121" customFormat="false" ht="15" hidden="true" customHeight="true" outlineLevel="0" collapsed="false">
      <c r="A121" s="42" t="s">
        <v>513</v>
      </c>
      <c r="B121" s="41" t="s">
        <v>491</v>
      </c>
      <c r="C121" s="76" t="n">
        <f aca="false">SUMIFS(AHSP!$L$5:$L$3000,AHSP!$I$5:$I$3000,"XI",AHSP!$C$5:$C$3000,B121,AHSP!$J$5:$J$3000,"Upah")</f>
        <v>0</v>
      </c>
      <c r="D121" s="45" t="n">
        <f aca="false">INDEX('Perhitungan Upah'!$C$5:$C$13,MATCH(B121,'Perhitungan Upah'!$B$5:$B$13,0))</f>
        <v>175300</v>
      </c>
      <c r="E121" s="46" t="n">
        <f aca="false">C121*D121</f>
        <v>0</v>
      </c>
    </row>
    <row r="122" customFormat="false" ht="15" hidden="true" customHeight="true" outlineLevel="0" collapsed="false">
      <c r="A122" s="20" t="s">
        <v>514</v>
      </c>
      <c r="B122" s="37" t="s">
        <v>493</v>
      </c>
      <c r="C122" s="75" t="n">
        <f aca="false">SUMIFS(AHSP!$L$5:$L$3000,AHSP!$I$5:$I$3000,"XI",AHSP!$C$5:$C$3000,B122,AHSP!$J$5:$J$3000,"Upah")</f>
        <v>0</v>
      </c>
      <c r="D122" s="21" t="n">
        <f aca="false">INDEX('Perhitungan Upah'!$C$5:$C$13,MATCH(B122,'Perhitungan Upah'!$B$5:$B$13,0))</f>
        <v>174700</v>
      </c>
      <c r="E122" s="26" t="n">
        <f aca="false">C122*D122</f>
        <v>0</v>
      </c>
    </row>
    <row r="123" customFormat="false" ht="15" hidden="true" customHeight="true" outlineLevel="0" collapsed="false">
      <c r="A123" s="42" t="s">
        <v>515</v>
      </c>
      <c r="B123" s="41" t="s">
        <v>495</v>
      </c>
      <c r="C123" s="76" t="n">
        <f aca="false">SUMIFS(AHSP!$L$5:$L$3000,AHSP!$I$5:$I$3000,"XI",AHSP!$C$5:$C$3000,B123,AHSP!$J$5:$J$3000,"Upah")</f>
        <v>0</v>
      </c>
      <c r="D123" s="45" t="n">
        <f aca="false">INDEX('Perhitungan Upah'!$C$5:$C$13,MATCH(B123,'Perhitungan Upah'!$B$5:$B$13,0))</f>
        <v>174700</v>
      </c>
      <c r="E123" s="46" t="n">
        <f aca="false">C123*D123</f>
        <v>0</v>
      </c>
    </row>
    <row r="124" customFormat="false" ht="15" hidden="true" customHeight="true" outlineLevel="0" collapsed="false">
      <c r="A124" s="20" t="s">
        <v>516</v>
      </c>
      <c r="B124" s="37" t="s">
        <v>497</v>
      </c>
      <c r="C124" s="75" t="n">
        <f aca="false">SUMIFS(AHSP!$L$5:$L$3000,AHSP!$I$5:$I$3000,"XI",AHSP!$C$5:$C$3000,B124,AHSP!$J$5:$J$3000,"Upah")</f>
        <v>0</v>
      </c>
      <c r="D124" s="21" t="n">
        <f aca="false">INDEX('Perhitungan Upah'!$C$5:$C$13,MATCH(B124,'Perhitungan Upah'!$B$5:$B$13,0))</f>
        <v>165000</v>
      </c>
      <c r="E124" s="26" t="n">
        <f aca="false">C124*D124</f>
        <v>0</v>
      </c>
    </row>
    <row r="125" customFormat="false" ht="15" hidden="false" customHeight="true" outlineLevel="0" collapsed="false">
      <c r="A125" s="42" t="s">
        <v>517</v>
      </c>
      <c r="B125" s="41" t="s">
        <v>499</v>
      </c>
      <c r="C125" s="76" t="n">
        <f aca="false">SUMIFS(AHSP!$L$5:$L$3000,AHSP!$I$5:$I$3000,"XI",AHSP!$C$5:$C$3000,B125,AHSP!$J$5:$J$3000,"Upah")</f>
        <v>8.9</v>
      </c>
      <c r="D125" s="45" t="n">
        <f aca="false">INDEX('Perhitungan Upah'!$C$5:$C$13,MATCH(B125,'Perhitungan Upah'!$B$5:$B$13,0))</f>
        <v>182800</v>
      </c>
      <c r="E125" s="46" t="n">
        <f aca="false">C125*D125</f>
        <v>1626920</v>
      </c>
    </row>
    <row r="126" customFormat="false" ht="15" hidden="true" customHeight="true" outlineLevel="0" collapsed="false">
      <c r="A126" s="20" t="s">
        <v>518</v>
      </c>
      <c r="B126" s="37" t="s">
        <v>501</v>
      </c>
      <c r="C126" s="75" t="n">
        <f aca="false">SUMIFS(AHSP!$L$5:$L$3000,AHSP!$I$5:$I$3000,"XI",AHSP!$C$5:$C$3000,B126,AHSP!$J$5:$J$3000,"Upah")</f>
        <v>0</v>
      </c>
      <c r="D126" s="21" t="n">
        <f aca="false">INDEX('Perhitungan Upah'!$C$5:$C$13,MATCH(B126,'Perhitungan Upah'!$B$5:$B$13,0))</f>
        <v>184400</v>
      </c>
      <c r="E126" s="26" t="n">
        <f aca="false">C126*D126</f>
        <v>0</v>
      </c>
    </row>
    <row r="127" customFormat="false" ht="15" hidden="true" customHeight="true" outlineLevel="0" collapsed="false">
      <c r="A127" s="42" t="s">
        <v>519</v>
      </c>
      <c r="B127" s="41" t="s">
        <v>503</v>
      </c>
      <c r="C127" s="76" t="n">
        <f aca="false">SUMIFS(AHSP!$L$5:$L$3000,AHSP!$I$5:$I$3000,"XI",AHSP!$C$5:$C$3000,B127,AHSP!$J$5:$J$3000,"Upah")</f>
        <v>0</v>
      </c>
      <c r="D127" s="45" t="n">
        <f aca="false">INDEX('Perhitungan Upah'!$C$5:$C$13,MATCH(B127,'Perhitungan Upah'!$B$5:$B$13,0))</f>
        <v>198900</v>
      </c>
      <c r="E127" s="46" t="n">
        <f aca="false">C127*D127</f>
        <v>0</v>
      </c>
    </row>
    <row r="128" customFormat="false" ht="15" hidden="true" customHeight="true" outlineLevel="0" collapsed="false">
      <c r="A128" s="20" t="s">
        <v>520</v>
      </c>
      <c r="B128" s="37" t="s">
        <v>505</v>
      </c>
      <c r="C128" s="75" t="n">
        <f aca="false">SUMIFS(AHSP!$L$5:$L$3000,AHSP!$I$5:$I$3000,"XI",AHSP!$C$5:$C$3000,B128,AHSP!$J$5:$J$3000,"Upah")</f>
        <v>0</v>
      </c>
      <c r="D128" s="21" t="n">
        <f aca="false">INDEX('Perhitungan Upah'!$C$5:$C$13,MATCH(B128,'Perhitungan Upah'!$B$5:$B$13,0))</f>
        <v>228300</v>
      </c>
      <c r="E128" s="26" t="n">
        <f aca="false">C128*D128</f>
        <v>0</v>
      </c>
    </row>
    <row r="129" customFormat="false" ht="15" hidden="false" customHeight="true" outlineLevel="0" collapsed="false">
      <c r="A129" s="35" t="s">
        <v>41</v>
      </c>
      <c r="B129" s="35"/>
      <c r="C129" s="74" t="n">
        <f aca="false">SUM(C130:C138)</f>
        <v>7</v>
      </c>
      <c r="D129" s="35"/>
      <c r="E129" s="36" t="n">
        <f aca="false">SUM(E130:E138)</f>
        <v>1092700</v>
      </c>
    </row>
    <row r="130" customFormat="false" ht="15" hidden="false" customHeight="true" outlineLevel="0" collapsed="false">
      <c r="A130" s="20" t="s">
        <v>512</v>
      </c>
      <c r="B130" s="37" t="s">
        <v>488</v>
      </c>
      <c r="C130" s="75" t="n">
        <f aca="false">SUMIFS(AHSP!$L$5:$L$3000,AHSP!$I$5:$I$3000,"XII",AHSP!$C$5:$C$3000,B130,AHSP!$J$5:$J$3000,"Upah")</f>
        <v>3</v>
      </c>
      <c r="D130" s="21" t="n">
        <f aca="false">INDEX('Perhitungan Upah'!$C$5:$C$13,MATCH(B130,'Perhitungan Upah'!$B$5:$B$13,0))</f>
        <v>130500</v>
      </c>
      <c r="E130" s="26" t="n">
        <f aca="false">C130*D130</f>
        <v>391500</v>
      </c>
    </row>
    <row r="131" customFormat="false" ht="15" hidden="false" customHeight="true" outlineLevel="0" collapsed="false">
      <c r="A131" s="42" t="s">
        <v>513</v>
      </c>
      <c r="B131" s="41" t="s">
        <v>491</v>
      </c>
      <c r="C131" s="76" t="n">
        <f aca="false">SUMIFS(AHSP!$L$5:$L$3000,AHSP!$I$5:$I$3000,"XII",AHSP!$C$5:$C$3000,B131,AHSP!$J$5:$J$3000,"Upah")</f>
        <v>4</v>
      </c>
      <c r="D131" s="45" t="n">
        <f aca="false">INDEX('Perhitungan Upah'!$C$5:$C$13,MATCH(B131,'Perhitungan Upah'!$B$5:$B$13,0))</f>
        <v>175300</v>
      </c>
      <c r="E131" s="46" t="n">
        <f aca="false">C131*D131</f>
        <v>701200</v>
      </c>
    </row>
    <row r="132" customFormat="false" ht="15" hidden="true" customHeight="true" outlineLevel="0" collapsed="false">
      <c r="A132" s="20" t="s">
        <v>514</v>
      </c>
      <c r="B132" s="37" t="s">
        <v>493</v>
      </c>
      <c r="C132" s="75" t="n">
        <f aca="false">SUMIFS(AHSP!$L$5:$L$3000,AHSP!$I$5:$I$3000,"XII",AHSP!$C$5:$C$3000,B132,AHSP!$J$5:$J$3000,"Upah")</f>
        <v>0</v>
      </c>
      <c r="D132" s="21" t="n">
        <f aca="false">INDEX('Perhitungan Upah'!$C$5:$C$13,MATCH(B132,'Perhitungan Upah'!$B$5:$B$13,0))</f>
        <v>174700</v>
      </c>
      <c r="E132" s="26" t="n">
        <f aca="false">C132*D132</f>
        <v>0</v>
      </c>
    </row>
    <row r="133" customFormat="false" ht="15" hidden="true" customHeight="true" outlineLevel="0" collapsed="false">
      <c r="A133" s="42" t="s">
        <v>515</v>
      </c>
      <c r="B133" s="41" t="s">
        <v>495</v>
      </c>
      <c r="C133" s="76" t="n">
        <f aca="false">SUMIFS(AHSP!$L$5:$L$3000,AHSP!$I$5:$I$3000,"XII",AHSP!$C$5:$C$3000,B133,AHSP!$J$5:$J$3000,"Upah")</f>
        <v>0</v>
      </c>
      <c r="D133" s="45" t="n">
        <f aca="false">INDEX('Perhitungan Upah'!$C$5:$C$13,MATCH(B133,'Perhitungan Upah'!$B$5:$B$13,0))</f>
        <v>174700</v>
      </c>
      <c r="E133" s="46" t="n">
        <f aca="false">C133*D133</f>
        <v>0</v>
      </c>
    </row>
    <row r="134" customFormat="false" ht="15" hidden="true" customHeight="true" outlineLevel="0" collapsed="false">
      <c r="A134" s="20" t="s">
        <v>516</v>
      </c>
      <c r="B134" s="37" t="s">
        <v>497</v>
      </c>
      <c r="C134" s="75" t="n">
        <f aca="false">SUMIFS(AHSP!$L$5:$L$3000,AHSP!$I$5:$I$3000,"XII",AHSP!$C$5:$C$3000,B134,AHSP!$J$5:$J$3000,"Upah")</f>
        <v>0</v>
      </c>
      <c r="D134" s="21" t="n">
        <f aca="false">INDEX('Perhitungan Upah'!$C$5:$C$13,MATCH(B134,'Perhitungan Upah'!$B$5:$B$13,0))</f>
        <v>165000</v>
      </c>
      <c r="E134" s="26" t="n">
        <f aca="false">C134*D134</f>
        <v>0</v>
      </c>
    </row>
    <row r="135" customFormat="false" ht="15" hidden="true" customHeight="true" outlineLevel="0" collapsed="false">
      <c r="A135" s="42" t="s">
        <v>517</v>
      </c>
      <c r="B135" s="41" t="s">
        <v>499</v>
      </c>
      <c r="C135" s="76" t="n">
        <f aca="false">SUMIFS(AHSP!$L$5:$L$3000,AHSP!$I$5:$I$3000,"XII",AHSP!$C$5:$C$3000,B135,AHSP!$J$5:$J$3000,"Upah")</f>
        <v>0</v>
      </c>
      <c r="D135" s="45" t="n">
        <f aca="false">INDEX('Perhitungan Upah'!$C$5:$C$13,MATCH(B135,'Perhitungan Upah'!$B$5:$B$13,0))</f>
        <v>182800</v>
      </c>
      <c r="E135" s="46" t="n">
        <f aca="false">C135*D135</f>
        <v>0</v>
      </c>
    </row>
    <row r="136" customFormat="false" ht="15" hidden="true" customHeight="true" outlineLevel="0" collapsed="false">
      <c r="A136" s="20" t="s">
        <v>518</v>
      </c>
      <c r="B136" s="37" t="s">
        <v>501</v>
      </c>
      <c r="C136" s="75" t="n">
        <f aca="false">SUMIFS(AHSP!$L$5:$L$3000,AHSP!$I$5:$I$3000,"XII",AHSP!$C$5:$C$3000,B136,AHSP!$J$5:$J$3000,"Upah")</f>
        <v>0</v>
      </c>
      <c r="D136" s="21" t="n">
        <f aca="false">INDEX('Perhitungan Upah'!$C$5:$C$13,MATCH(B136,'Perhitungan Upah'!$B$5:$B$13,0))</f>
        <v>184400</v>
      </c>
      <c r="E136" s="26" t="n">
        <f aca="false">C136*D136</f>
        <v>0</v>
      </c>
    </row>
    <row r="137" customFormat="false" ht="15" hidden="true" customHeight="true" outlineLevel="0" collapsed="false">
      <c r="A137" s="42" t="s">
        <v>519</v>
      </c>
      <c r="B137" s="41" t="s">
        <v>503</v>
      </c>
      <c r="C137" s="76" t="n">
        <f aca="false">SUMIFS(AHSP!$L$5:$L$3000,AHSP!$I$5:$I$3000,"XII",AHSP!$C$5:$C$3000,B137,AHSP!$J$5:$J$3000,"Upah")</f>
        <v>0</v>
      </c>
      <c r="D137" s="45" t="n">
        <f aca="false">INDEX('Perhitungan Upah'!$C$5:$C$13,MATCH(B137,'Perhitungan Upah'!$B$5:$B$13,0))</f>
        <v>198900</v>
      </c>
      <c r="E137" s="46" t="n">
        <f aca="false">C137*D137</f>
        <v>0</v>
      </c>
    </row>
    <row r="138" customFormat="false" ht="15" hidden="true" customHeight="true" outlineLevel="0" collapsed="false">
      <c r="A138" s="20" t="s">
        <v>520</v>
      </c>
      <c r="B138" s="37" t="s">
        <v>505</v>
      </c>
      <c r="C138" s="75" t="n">
        <f aca="false">SUMIFS(AHSP!$L$5:$L$3000,AHSP!$I$5:$I$3000,"XII",AHSP!$C$5:$C$3000,B138,AHSP!$J$5:$J$3000,"Upah")</f>
        <v>0</v>
      </c>
      <c r="D138" s="21" t="n">
        <f aca="false">INDEX('Perhitungan Upah'!$C$5:$C$13,MATCH(B138,'Perhitungan Upah'!$B$5:$B$13,0))</f>
        <v>228300</v>
      </c>
      <c r="E138" s="26" t="n">
        <f aca="false">C138*D138</f>
        <v>0</v>
      </c>
    </row>
    <row r="139" customFormat="false" ht="15" hidden="false" customHeight="true" outlineLevel="0" collapsed="false">
      <c r="A139" s="35" t="s">
        <v>42</v>
      </c>
      <c r="B139" s="35"/>
      <c r="C139" s="74" t="n">
        <f aca="false">SUM(C140:C148)</f>
        <v>7.58046</v>
      </c>
      <c r="D139" s="35"/>
      <c r="E139" s="36" t="n">
        <f aca="false">SUM(E140:E148)</f>
        <v>1132157.214</v>
      </c>
    </row>
    <row r="140" customFormat="false" ht="15" hidden="false" customHeight="true" outlineLevel="0" collapsed="false">
      <c r="A140" s="20" t="s">
        <v>512</v>
      </c>
      <c r="B140" s="37" t="s">
        <v>488</v>
      </c>
      <c r="C140" s="75" t="n">
        <f aca="false">SUMIFS(AHSP!$L$5:$L$3000,AHSP!$I$5:$I$3000,"XIII",AHSP!$C$5:$C$3000,B140,AHSP!$J$5:$J$3000,"Upah")</f>
        <v>4.7025</v>
      </c>
      <c r="D140" s="21" t="n">
        <f aca="false">INDEX('Perhitungan Upah'!$C$5:$C$13,MATCH(B140,'Perhitungan Upah'!$B$5:$B$13,0))</f>
        <v>130500</v>
      </c>
      <c r="E140" s="26" t="n">
        <f aca="false">C140*D140</f>
        <v>613676.25</v>
      </c>
    </row>
    <row r="141" customFormat="false" ht="15" hidden="false" customHeight="true" outlineLevel="0" collapsed="false">
      <c r="A141" s="42" t="s">
        <v>513</v>
      </c>
      <c r="B141" s="41" t="s">
        <v>491</v>
      </c>
      <c r="C141" s="76" t="n">
        <f aca="false">SUMIFS(AHSP!$L$5:$L$3000,AHSP!$I$5:$I$3000,"XIII",AHSP!$C$5:$C$3000,B141,AHSP!$J$5:$J$3000,"Upah")</f>
        <v>1.5195</v>
      </c>
      <c r="D141" s="45" t="n">
        <f aca="false">INDEX('Perhitungan Upah'!$C$5:$C$13,MATCH(B141,'Perhitungan Upah'!$B$5:$B$13,0))</f>
        <v>175300</v>
      </c>
      <c r="E141" s="46" t="n">
        <f aca="false">C141*D141</f>
        <v>266368.35</v>
      </c>
    </row>
    <row r="142" customFormat="false" ht="15" hidden="true" customHeight="true" outlineLevel="0" collapsed="false">
      <c r="A142" s="20" t="s">
        <v>514</v>
      </c>
      <c r="B142" s="37" t="s">
        <v>493</v>
      </c>
      <c r="C142" s="75" t="n">
        <f aca="false">SUMIFS(AHSP!$L$5:$L$3000,AHSP!$I$5:$I$3000,"XIII",AHSP!$C$5:$C$3000,B142,AHSP!$J$5:$J$3000,"Upah")</f>
        <v>0</v>
      </c>
      <c r="D142" s="21" t="n">
        <f aca="false">INDEX('Perhitungan Upah'!$C$5:$C$13,MATCH(B142,'Perhitungan Upah'!$B$5:$B$13,0))</f>
        <v>174700</v>
      </c>
      <c r="E142" s="26" t="n">
        <f aca="false">C142*D142</f>
        <v>0</v>
      </c>
    </row>
    <row r="143" customFormat="false" ht="15" hidden="false" customHeight="true" outlineLevel="0" collapsed="false">
      <c r="A143" s="42" t="s">
        <v>515</v>
      </c>
      <c r="B143" s="41" t="s">
        <v>495</v>
      </c>
      <c r="C143" s="76" t="n">
        <f aca="false">SUMIFS(AHSP!$L$5:$L$3000,AHSP!$I$5:$I$3000,"XIII",AHSP!$C$5:$C$3000,B143,AHSP!$J$5:$J$3000,"Upah")</f>
        <v>0.4155</v>
      </c>
      <c r="D143" s="45" t="n">
        <f aca="false">INDEX('Perhitungan Upah'!$C$5:$C$13,MATCH(B143,'Perhitungan Upah'!$B$5:$B$13,0))</f>
        <v>174700</v>
      </c>
      <c r="E143" s="46" t="n">
        <f aca="false">C143*D143</f>
        <v>72587.85</v>
      </c>
    </row>
    <row r="144" customFormat="false" ht="15" hidden="false" customHeight="true" outlineLevel="0" collapsed="false">
      <c r="A144" s="20" t="s">
        <v>516</v>
      </c>
      <c r="B144" s="37" t="s">
        <v>497</v>
      </c>
      <c r="C144" s="75" t="n">
        <f aca="false">SUMIFS(AHSP!$L$5:$L$3000,AHSP!$I$5:$I$3000,"XIII",AHSP!$C$5:$C$3000,B144,AHSP!$J$5:$J$3000,"Upah")</f>
        <v>0.4536</v>
      </c>
      <c r="D144" s="21" t="n">
        <f aca="false">INDEX('Perhitungan Upah'!$C$5:$C$13,MATCH(B144,'Perhitungan Upah'!$B$5:$B$13,0))</f>
        <v>165000</v>
      </c>
      <c r="E144" s="26" t="n">
        <f aca="false">C144*D144</f>
        <v>74844</v>
      </c>
    </row>
    <row r="145" customFormat="false" ht="15" hidden="true" customHeight="true" outlineLevel="0" collapsed="false">
      <c r="A145" s="42" t="s">
        <v>517</v>
      </c>
      <c r="B145" s="41" t="s">
        <v>499</v>
      </c>
      <c r="C145" s="76" t="n">
        <f aca="false">SUMIFS(AHSP!$L$5:$L$3000,AHSP!$I$5:$I$3000,"XIII",AHSP!$C$5:$C$3000,B145,AHSP!$J$5:$J$3000,"Upah")</f>
        <v>0</v>
      </c>
      <c r="D145" s="45" t="n">
        <f aca="false">INDEX('Perhitungan Upah'!$C$5:$C$13,MATCH(B145,'Perhitungan Upah'!$B$5:$B$13,0))</f>
        <v>182800</v>
      </c>
      <c r="E145" s="46" t="n">
        <f aca="false">C145*D145</f>
        <v>0</v>
      </c>
    </row>
    <row r="146" customFormat="false" ht="15" hidden="true" customHeight="true" outlineLevel="0" collapsed="false">
      <c r="A146" s="20" t="s">
        <v>518</v>
      </c>
      <c r="B146" s="37" t="s">
        <v>501</v>
      </c>
      <c r="C146" s="75" t="n">
        <f aca="false">SUMIFS(AHSP!$L$5:$L$3000,AHSP!$I$5:$I$3000,"XIII",AHSP!$C$5:$C$3000,B146,AHSP!$J$5:$J$3000,"Upah")</f>
        <v>0</v>
      </c>
      <c r="D146" s="21" t="n">
        <f aca="false">INDEX('Perhitungan Upah'!$C$5:$C$13,MATCH(B146,'Perhitungan Upah'!$B$5:$B$13,0))</f>
        <v>184400</v>
      </c>
      <c r="E146" s="26" t="n">
        <f aca="false">C146*D146</f>
        <v>0</v>
      </c>
    </row>
    <row r="147" customFormat="false" ht="15" hidden="false" customHeight="true" outlineLevel="0" collapsed="false">
      <c r="A147" s="42" t="s">
        <v>519</v>
      </c>
      <c r="B147" s="41" t="s">
        <v>503</v>
      </c>
      <c r="C147" s="76" t="n">
        <f aca="false">SUMIFS(AHSP!$L$5:$L$3000,AHSP!$I$5:$I$3000,"XIII",AHSP!$C$5:$C$3000,B147,AHSP!$J$5:$J$3000,"Upah")</f>
        <v>0.23946</v>
      </c>
      <c r="D147" s="45" t="n">
        <f aca="false">INDEX('Perhitungan Upah'!$C$5:$C$13,MATCH(B147,'Perhitungan Upah'!$B$5:$B$13,0))</f>
        <v>198900</v>
      </c>
      <c r="E147" s="46" t="n">
        <f aca="false">C147*D147</f>
        <v>47628.594</v>
      </c>
    </row>
    <row r="148" customFormat="false" ht="15" hidden="false" customHeight="true" outlineLevel="0" collapsed="false">
      <c r="A148" s="20" t="s">
        <v>520</v>
      </c>
      <c r="B148" s="37" t="s">
        <v>505</v>
      </c>
      <c r="C148" s="75" t="n">
        <f aca="false">SUMIFS(AHSP!$L$5:$L$3000,AHSP!$I$5:$I$3000,"XIII",AHSP!$C$5:$C$3000,B148,AHSP!$J$5:$J$3000,"Upah")</f>
        <v>0.2499</v>
      </c>
      <c r="D148" s="21" t="n">
        <f aca="false">INDEX('Perhitungan Upah'!$C$5:$C$13,MATCH(B148,'Perhitungan Upah'!$B$5:$B$13,0))</f>
        <v>228300</v>
      </c>
      <c r="E148" s="26" t="n">
        <f aca="false">C148*D148</f>
        <v>57052.17</v>
      </c>
    </row>
    <row r="149" customFormat="false" ht="21.75" hidden="false" customHeight="true" outlineLevel="0" collapsed="false">
      <c r="A149" s="56" t="s">
        <v>27</v>
      </c>
      <c r="B149" s="55"/>
      <c r="C149" s="77" t="n">
        <f aca="false">C19+C29+C39+C49+C59+C69+C79+C89+C99+C109+C119+C129+C139</f>
        <v>366.337491467083</v>
      </c>
      <c r="D149" s="55"/>
      <c r="E149" s="57" t="n">
        <f aca="false">E19+E29+E39+E49+E59+E69+E79+E89+E99+E109+E119+E129+E139</f>
        <v>55534639.6594484</v>
      </c>
    </row>
    <row r="150" customFormat="false" ht="23.25" hidden="false" customHeight="true" outlineLevel="0" collapsed="false">
      <c r="A150" s="20" t="str">
        <f aca="false">IF(ABS(E149-'RAB Borongan'!J73)&lt;1,"✓ sama dengan upah di RAB Swakelola &amp; RAB Borongan","periksa")</f>
        <v>✓ sama dengan upah di RAB Swakelola &amp; RAB Borongan</v>
      </c>
      <c r="B150" s="24"/>
      <c r="C150" s="24"/>
      <c r="D150" s="24"/>
      <c r="E150" s="24"/>
    </row>
    <row r="152" customFormat="false" ht="15" hidden="false" customHeight="true" outlineLevel="0" collapsed="false">
      <c r="A152" s="27" t="s">
        <v>521</v>
      </c>
    </row>
    <row r="153" customFormat="false" ht="33.75" hidden="false" customHeight="true" outlineLevel="0" collapsed="false">
      <c r="A153" s="5" t="s">
        <v>522</v>
      </c>
      <c r="B153" s="5"/>
      <c r="C153" s="5" t="s">
        <v>523</v>
      </c>
      <c r="D153" s="5" t="s">
        <v>524</v>
      </c>
      <c r="E153" s="5" t="s">
        <v>525</v>
      </c>
    </row>
    <row r="154" customFormat="false" ht="15" hidden="false" customHeight="true" outlineLevel="0" collapsed="false">
      <c r="A154" s="20" t="s">
        <v>30</v>
      </c>
      <c r="B154" s="24"/>
      <c r="C154" s="75" t="n">
        <f aca="false">C19</f>
        <v>18.6</v>
      </c>
      <c r="D154" s="78" t="n">
        <f aca="false">IF(C154=0,0,ROUNDUP(C154/Parameter!$B$11,0))</f>
        <v>4</v>
      </c>
      <c r="E154" s="78" t="n">
        <f aca="false">MAX(1,ROUNDUP(D154/6,0))</f>
        <v>1</v>
      </c>
    </row>
    <row r="155" customFormat="false" ht="15" hidden="false" customHeight="true" outlineLevel="0" collapsed="false">
      <c r="A155" s="42" t="s">
        <v>31</v>
      </c>
      <c r="B155" s="54"/>
      <c r="C155" s="76" t="n">
        <f aca="false">C29</f>
        <v>39.7740645</v>
      </c>
      <c r="D155" s="79" t="n">
        <f aca="false">IF(C155=0,0,ROUNDUP(C155/Parameter!$B$11,0))</f>
        <v>8</v>
      </c>
      <c r="E155" s="79" t="n">
        <f aca="false">MAX(1,ROUNDUP(D155/6,0))</f>
        <v>2</v>
      </c>
    </row>
    <row r="156" customFormat="false" ht="15" hidden="false" customHeight="true" outlineLevel="0" collapsed="false">
      <c r="A156" s="20" t="s">
        <v>32</v>
      </c>
      <c r="B156" s="24"/>
      <c r="C156" s="75" t="n">
        <f aca="false">C39</f>
        <v>29.1943739796683</v>
      </c>
      <c r="D156" s="78" t="n">
        <f aca="false">IF(C156=0,0,ROUNDUP(C156/Parameter!$B$11,0))</f>
        <v>6</v>
      </c>
      <c r="E156" s="78" t="n">
        <f aca="false">MAX(1,ROUNDUP(D156/6,0))</f>
        <v>1</v>
      </c>
    </row>
    <row r="157" customFormat="false" ht="15" hidden="false" customHeight="true" outlineLevel="0" collapsed="false">
      <c r="A157" s="42" t="s">
        <v>33</v>
      </c>
      <c r="B157" s="54"/>
      <c r="C157" s="76" t="n">
        <f aca="false">C49</f>
        <v>124.411994061379</v>
      </c>
      <c r="D157" s="79" t="n">
        <f aca="false">IF(C157=0,0,ROUNDUP(C157/Parameter!$B$11,0))</f>
        <v>25</v>
      </c>
      <c r="E157" s="79" t="n">
        <f aca="false">MAX(1,ROUNDUP(D157/6,0))</f>
        <v>5</v>
      </c>
    </row>
    <row r="158" customFormat="false" ht="15" hidden="false" customHeight="true" outlineLevel="0" collapsed="false">
      <c r="A158" s="20" t="s">
        <v>34</v>
      </c>
      <c r="B158" s="24"/>
      <c r="C158" s="75" t="n">
        <f aca="false">C59</f>
        <v>40.7087893412273</v>
      </c>
      <c r="D158" s="78" t="n">
        <f aca="false">IF(C158=0,0,ROUNDUP(C158/Parameter!$B$11,0))</f>
        <v>9</v>
      </c>
      <c r="E158" s="78" t="n">
        <f aca="false">MAX(1,ROUNDUP(D158/6,0))</f>
        <v>2</v>
      </c>
    </row>
    <row r="159" customFormat="false" ht="15" hidden="false" customHeight="true" outlineLevel="0" collapsed="false">
      <c r="A159" s="42" t="s">
        <v>35</v>
      </c>
      <c r="B159" s="54"/>
      <c r="C159" s="76" t="n">
        <f aca="false">C69</f>
        <v>12.15</v>
      </c>
      <c r="D159" s="79" t="n">
        <f aca="false">IF(C159=0,0,ROUNDUP(C159/Parameter!$B$11,0))</f>
        <v>3</v>
      </c>
      <c r="E159" s="79" t="n">
        <f aca="false">MAX(1,ROUNDUP(D159/6,0))</f>
        <v>1</v>
      </c>
    </row>
    <row r="160" customFormat="false" ht="15" hidden="false" customHeight="true" outlineLevel="0" collapsed="false">
      <c r="A160" s="20" t="s">
        <v>36</v>
      </c>
      <c r="B160" s="24"/>
      <c r="C160" s="75" t="n">
        <f aca="false">C79</f>
        <v>30.9025</v>
      </c>
      <c r="D160" s="78" t="n">
        <f aca="false">IF(C160=0,0,ROUNDUP(C160/Parameter!$B$11,0))</f>
        <v>7</v>
      </c>
      <c r="E160" s="78" t="n">
        <f aca="false">MAX(1,ROUNDUP(D160/6,0))</f>
        <v>2</v>
      </c>
    </row>
    <row r="161" customFormat="false" ht="15" hidden="false" customHeight="true" outlineLevel="0" collapsed="false">
      <c r="A161" s="42" t="s">
        <v>37</v>
      </c>
      <c r="B161" s="54"/>
      <c r="C161" s="76" t="n">
        <f aca="false">C89</f>
        <v>5.2</v>
      </c>
      <c r="D161" s="79" t="n">
        <f aca="false">IF(C161=0,0,ROUNDUP(C161/Parameter!$B$11,0))</f>
        <v>2</v>
      </c>
      <c r="E161" s="79" t="n">
        <f aca="false">MAX(1,ROUNDUP(D161/6,0))</f>
        <v>1</v>
      </c>
    </row>
    <row r="162" customFormat="false" ht="15" hidden="false" customHeight="true" outlineLevel="0" collapsed="false">
      <c r="A162" s="20" t="s">
        <v>38</v>
      </c>
      <c r="B162" s="24"/>
      <c r="C162" s="75" t="n">
        <f aca="false">C99</f>
        <v>22.3177095848089</v>
      </c>
      <c r="D162" s="78" t="n">
        <f aca="false">IF(C162=0,0,ROUNDUP(C162/Parameter!$B$11,0))</f>
        <v>5</v>
      </c>
      <c r="E162" s="78" t="n">
        <f aca="false">MAX(1,ROUNDUP(D162/6,0))</f>
        <v>1</v>
      </c>
    </row>
    <row r="163" customFormat="false" ht="15" hidden="false" customHeight="true" outlineLevel="0" collapsed="false">
      <c r="A163" s="42" t="s">
        <v>39</v>
      </c>
      <c r="B163" s="54"/>
      <c r="C163" s="76" t="n">
        <f aca="false">C109</f>
        <v>13.5976</v>
      </c>
      <c r="D163" s="79" t="n">
        <f aca="false">IF(C163=0,0,ROUNDUP(C163/Parameter!$B$11,0))</f>
        <v>3</v>
      </c>
      <c r="E163" s="79" t="n">
        <f aca="false">MAX(1,ROUNDUP(D163/6,0))</f>
        <v>1</v>
      </c>
    </row>
    <row r="164" customFormat="false" ht="15" hidden="false" customHeight="true" outlineLevel="0" collapsed="false">
      <c r="A164" s="20" t="s">
        <v>40</v>
      </c>
      <c r="B164" s="24"/>
      <c r="C164" s="75" t="n">
        <f aca="false">C119</f>
        <v>14.9</v>
      </c>
      <c r="D164" s="78" t="n">
        <f aca="false">IF(C164=0,0,ROUNDUP(C164/Parameter!$B$11,0))</f>
        <v>3</v>
      </c>
      <c r="E164" s="78" t="n">
        <f aca="false">MAX(1,ROUNDUP(D164/6,0))</f>
        <v>1</v>
      </c>
    </row>
    <row r="165" customFormat="false" ht="15" hidden="false" customHeight="true" outlineLevel="0" collapsed="false">
      <c r="A165" s="42" t="s">
        <v>41</v>
      </c>
      <c r="B165" s="54"/>
      <c r="C165" s="76" t="n">
        <f aca="false">C129</f>
        <v>7</v>
      </c>
      <c r="D165" s="79" t="n">
        <f aca="false">IF(C165=0,0,ROUNDUP(C165/Parameter!$B$11,0))</f>
        <v>2</v>
      </c>
      <c r="E165" s="79" t="n">
        <f aca="false">MAX(1,ROUNDUP(D165/6,0))</f>
        <v>1</v>
      </c>
    </row>
    <row r="166" customFormat="false" ht="15" hidden="false" customHeight="true" outlineLevel="0" collapsed="false">
      <c r="A166" s="20" t="s">
        <v>42</v>
      </c>
      <c r="B166" s="24"/>
      <c r="C166" s="75" t="n">
        <f aca="false">C139</f>
        <v>7.58046</v>
      </c>
      <c r="D166" s="78" t="n">
        <f aca="false">IF(C166=0,0,ROUNDUP(C166/Parameter!$B$11,0))</f>
        <v>2</v>
      </c>
      <c r="E166" s="78" t="n">
        <f aca="false">MAX(1,ROUNDUP(D166/6,0))</f>
        <v>1</v>
      </c>
    </row>
  </sheetData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L74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8.3"/>
    <col collapsed="false" customWidth="true" hidden="false" outlineLevel="0" max="2" min="2" style="1" width="40"/>
    <col collapsed="false" customWidth="true" hidden="false" outlineLevel="0" max="3" min="3" style="1" width="7"/>
    <col collapsed="false" customWidth="true" hidden="false" outlineLevel="0" max="4" min="4" style="1" width="8.61"/>
    <col collapsed="false" customWidth="true" hidden="false" outlineLevel="0" max="5" min="5" style="1" width="11.9"/>
    <col collapsed="false" customWidth="true" hidden="false" outlineLevel="0" max="6" min="6" style="1" width="13.9"/>
    <col collapsed="false" customWidth="true" hidden="false" outlineLevel="0" max="7" min="7" style="1" width="14"/>
    <col collapsed="false" customWidth="true" hidden="false" outlineLevel="1" max="8" min="8" style="0" width="8"/>
    <col collapsed="false" customWidth="true" hidden="false" outlineLevel="1" max="9" min="9" style="0" width="7"/>
    <col collapsed="false" customWidth="true" hidden="false" outlineLevel="1" max="10" min="10" style="0" width="11.2"/>
    <col collapsed="false" customWidth="true" hidden="false" outlineLevel="1" max="11" min="11" style="1" width="10"/>
    <col collapsed="false" customWidth="true" hidden="false" outlineLevel="1" max="12" min="12" style="1" width="12"/>
  </cols>
  <sheetData>
    <row r="1" customFormat="false" ht="25.5" hidden="false" customHeight="true" outlineLevel="0" collapsed="false">
      <c r="A1" s="2" t="s">
        <v>526</v>
      </c>
    </row>
    <row r="2" customFormat="false" ht="18" hidden="false" customHeight="true" outlineLevel="0" collapsed="false">
      <c r="A2" s="3" t="s">
        <v>527</v>
      </c>
    </row>
    <row r="4" customFormat="false" ht="30" hidden="false" customHeight="true" outlineLevel="0" collapsed="false">
      <c r="A4" s="5" t="s">
        <v>64</v>
      </c>
      <c r="B4" s="5" t="s">
        <v>528</v>
      </c>
      <c r="C4" s="5" t="s">
        <v>281</v>
      </c>
      <c r="D4" s="5" t="s">
        <v>285</v>
      </c>
      <c r="E4" s="5" t="s">
        <v>529</v>
      </c>
      <c r="F4" s="5" t="s">
        <v>70</v>
      </c>
      <c r="G4" s="5" t="s">
        <v>530</v>
      </c>
      <c r="H4" s="80" t="s">
        <v>531</v>
      </c>
      <c r="I4" s="80" t="s">
        <v>532</v>
      </c>
      <c r="J4" s="80" t="s">
        <v>533</v>
      </c>
      <c r="K4" s="80" t="s">
        <v>534</v>
      </c>
      <c r="L4" s="80" t="s">
        <v>535</v>
      </c>
    </row>
    <row r="5" customFormat="false" ht="23.25" hidden="false" customHeight="true" outlineLevel="0" collapsed="false">
      <c r="A5" s="35" t="s">
        <v>79</v>
      </c>
      <c r="B5" s="35" t="s">
        <v>536</v>
      </c>
      <c r="C5" s="35"/>
      <c r="D5" s="35"/>
      <c r="E5" s="35"/>
      <c r="F5" s="35"/>
      <c r="G5" s="35"/>
      <c r="H5" s="35"/>
      <c r="I5" s="35"/>
      <c r="J5" s="81" t="s">
        <v>537</v>
      </c>
      <c r="K5" s="82" t="n">
        <f aca="false">Volume!$B$23</f>
        <v>36</v>
      </c>
      <c r="L5" s="35"/>
    </row>
    <row r="6" customFormat="false" ht="15" hidden="false" customHeight="true" outlineLevel="0" collapsed="false">
      <c r="A6" s="83" t="s">
        <v>538</v>
      </c>
      <c r="B6" s="25" t="s">
        <v>539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15" hidden="false" customHeight="true" outlineLevel="0" collapsed="false">
      <c r="A7" s="24"/>
      <c r="B7" s="20" t="s">
        <v>492</v>
      </c>
      <c r="C7" s="37" t="s">
        <v>493</v>
      </c>
      <c r="D7" s="37" t="s">
        <v>540</v>
      </c>
      <c r="E7" s="84" t="n">
        <v>0.05</v>
      </c>
      <c r="F7" s="21" t="n">
        <f aca="false">INDEX('Perhitungan Upah'!$C$5:$C$13,MATCH(C7,'Perhitungan Upah'!$B$5:$B$13,0))</f>
        <v>174700</v>
      </c>
      <c r="G7" s="21" t="n">
        <f aca="false">E7*F7</f>
        <v>8735</v>
      </c>
      <c r="H7" s="85" t="s">
        <v>79</v>
      </c>
      <c r="I7" s="85" t="s">
        <v>77</v>
      </c>
      <c r="J7" s="85" t="s">
        <v>541</v>
      </c>
      <c r="K7" s="86" t="n">
        <f aca="false">$K$5</f>
        <v>36</v>
      </c>
      <c r="L7" s="86" t="n">
        <f aca="false">E7*K7</f>
        <v>1.8</v>
      </c>
    </row>
    <row r="8" customFormat="false" ht="15" hidden="false" customHeight="true" outlineLevel="0" collapsed="false">
      <c r="A8" s="24"/>
      <c r="B8" s="20" t="s">
        <v>487</v>
      </c>
      <c r="C8" s="37" t="s">
        <v>488</v>
      </c>
      <c r="D8" s="37" t="s">
        <v>540</v>
      </c>
      <c r="E8" s="84" t="n">
        <v>0.05</v>
      </c>
      <c r="F8" s="21" t="n">
        <f aca="false">INDEX('Perhitungan Upah'!$C$5:$C$13,MATCH(C8,'Perhitungan Upah'!$B$5:$B$13,0))</f>
        <v>130500</v>
      </c>
      <c r="G8" s="21" t="n">
        <f aca="false">E8*F8</f>
        <v>6525</v>
      </c>
      <c r="H8" s="85" t="s">
        <v>79</v>
      </c>
      <c r="I8" s="85" t="s">
        <v>77</v>
      </c>
      <c r="J8" s="85" t="s">
        <v>541</v>
      </c>
      <c r="K8" s="86" t="n">
        <f aca="false">$K$5</f>
        <v>36</v>
      </c>
      <c r="L8" s="86" t="n">
        <f aca="false">E8*K8</f>
        <v>1.8</v>
      </c>
    </row>
    <row r="9" customFormat="false" ht="15" hidden="false" customHeight="true" outlineLevel="0" collapsed="false">
      <c r="A9" s="87"/>
      <c r="B9" s="88" t="s">
        <v>542</v>
      </c>
      <c r="C9" s="87"/>
      <c r="D9" s="87"/>
      <c r="E9" s="87"/>
      <c r="F9" s="87"/>
      <c r="G9" s="89" t="n">
        <f aca="false">SUM(G7:G8)</f>
        <v>15260</v>
      </c>
      <c r="H9" s="24"/>
      <c r="I9" s="24"/>
      <c r="J9" s="24"/>
      <c r="K9" s="24"/>
      <c r="L9" s="24"/>
    </row>
    <row r="10" customFormat="false" ht="15" hidden="false" customHeight="true" outlineLevel="0" collapsed="false">
      <c r="A10" s="83" t="s">
        <v>543</v>
      </c>
      <c r="B10" s="25" t="s">
        <v>544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customFormat="false" ht="15" hidden="false" customHeight="true" outlineLevel="0" collapsed="false">
      <c r="A11" s="24"/>
      <c r="B11" s="20" t="s">
        <v>455</v>
      </c>
      <c r="C11" s="37" t="s">
        <v>454</v>
      </c>
      <c r="D11" s="37" t="s">
        <v>81</v>
      </c>
      <c r="E11" s="84" t="n">
        <v>1</v>
      </c>
      <c r="F11" s="21" t="n">
        <f aca="false">VLOOKUP(C11,'Perhitungan Bahan'!$A$5:$J$61,10,FALSE())</f>
        <v>3000</v>
      </c>
      <c r="G11" s="21" t="n">
        <f aca="false">E11*F11</f>
        <v>3000</v>
      </c>
      <c r="H11" s="85" t="s">
        <v>79</v>
      </c>
      <c r="I11" s="85" t="s">
        <v>77</v>
      </c>
      <c r="J11" s="85" t="s">
        <v>282</v>
      </c>
      <c r="K11" s="86" t="n">
        <f aca="false">$K$5</f>
        <v>36</v>
      </c>
      <c r="L11" s="86" t="n">
        <f aca="false">E11*K11</f>
        <v>36</v>
      </c>
    </row>
    <row r="12" customFormat="false" ht="15" hidden="false" customHeight="true" outlineLevel="0" collapsed="false">
      <c r="A12" s="87"/>
      <c r="B12" s="88" t="s">
        <v>71</v>
      </c>
      <c r="C12" s="87"/>
      <c r="D12" s="87"/>
      <c r="E12" s="87"/>
      <c r="F12" s="87"/>
      <c r="G12" s="89" t="n">
        <f aca="false">SUM(G11:G11)</f>
        <v>3000</v>
      </c>
      <c r="H12" s="24"/>
      <c r="I12" s="24"/>
      <c r="J12" s="24"/>
      <c r="K12" s="24"/>
      <c r="L12" s="24"/>
    </row>
    <row r="13" customFormat="false" ht="15" hidden="false" customHeight="true" outlineLevel="0" collapsed="false">
      <c r="A13" s="90" t="s">
        <v>545</v>
      </c>
      <c r="B13" s="91" t="s">
        <v>546</v>
      </c>
      <c r="C13" s="92"/>
      <c r="D13" s="92"/>
      <c r="E13" s="92"/>
      <c r="F13" s="92"/>
      <c r="G13" s="93" t="n">
        <f aca="false">G9+G12</f>
        <v>18260</v>
      </c>
      <c r="H13" s="24"/>
      <c r="I13" s="24"/>
      <c r="J13" s="24"/>
      <c r="K13" s="24"/>
      <c r="L13" s="24"/>
    </row>
    <row r="14" customFormat="false" ht="15" hidden="false" customHeight="true" outlineLevel="0" collapsed="false">
      <c r="A14" s="37" t="s">
        <v>547</v>
      </c>
      <c r="B14" s="20" t="s">
        <v>548</v>
      </c>
      <c r="C14" s="24"/>
      <c r="D14" s="24"/>
      <c r="E14" s="94" t="n">
        <f aca="false">Parameter!$B$4</f>
        <v>0.15</v>
      </c>
      <c r="F14" s="24"/>
      <c r="G14" s="21" t="n">
        <f aca="false">G13*E14</f>
        <v>2739</v>
      </c>
      <c r="H14" s="24"/>
      <c r="I14" s="24"/>
      <c r="J14" s="24"/>
      <c r="K14" s="24"/>
      <c r="L14" s="24"/>
    </row>
    <row r="15" customFormat="false" ht="15" hidden="false" customHeight="true" outlineLevel="0" collapsed="false">
      <c r="A15" s="95" t="s">
        <v>549</v>
      </c>
      <c r="B15" s="96" t="s">
        <v>550</v>
      </c>
      <c r="C15" s="97"/>
      <c r="D15" s="97"/>
      <c r="E15" s="97"/>
      <c r="F15" s="97"/>
      <c r="G15" s="98" t="n">
        <f aca="false">G13+G14</f>
        <v>20999</v>
      </c>
      <c r="H15" s="24"/>
      <c r="I15" s="24"/>
      <c r="J15" s="24"/>
      <c r="K15" s="24"/>
      <c r="L15" s="24"/>
    </row>
    <row r="17" customFormat="false" ht="23.25" hidden="false" customHeight="true" outlineLevel="0" collapsed="false">
      <c r="A17" s="35" t="s">
        <v>84</v>
      </c>
      <c r="B17" s="35" t="s">
        <v>551</v>
      </c>
      <c r="C17" s="35"/>
      <c r="D17" s="35"/>
      <c r="E17" s="35"/>
      <c r="F17" s="35"/>
      <c r="G17" s="35"/>
      <c r="H17" s="35"/>
      <c r="I17" s="35"/>
      <c r="J17" s="81" t="s">
        <v>537</v>
      </c>
      <c r="K17" s="82" t="n">
        <v>1</v>
      </c>
      <c r="L17" s="35"/>
    </row>
    <row r="18" customFormat="false" ht="15" hidden="false" customHeight="true" outlineLevel="0" collapsed="false">
      <c r="A18" s="83" t="s">
        <v>538</v>
      </c>
      <c r="B18" s="25" t="s">
        <v>539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customFormat="false" ht="15" hidden="false" customHeight="true" outlineLevel="0" collapsed="false">
      <c r="A19" s="24"/>
      <c r="B19" s="20" t="s">
        <v>487</v>
      </c>
      <c r="C19" s="37" t="s">
        <v>488</v>
      </c>
      <c r="D19" s="37" t="s">
        <v>540</v>
      </c>
      <c r="E19" s="84" t="n">
        <v>15</v>
      </c>
      <c r="F19" s="21" t="n">
        <f aca="false">INDEX('Perhitungan Upah'!$C$5:$C$13,MATCH(C19,'Perhitungan Upah'!$B$5:$B$13,0))</f>
        <v>130500</v>
      </c>
      <c r="G19" s="21" t="n">
        <f aca="false">E19*F19</f>
        <v>1957500</v>
      </c>
      <c r="H19" s="85" t="s">
        <v>84</v>
      </c>
      <c r="I19" s="85" t="s">
        <v>77</v>
      </c>
      <c r="J19" s="85" t="s">
        <v>541</v>
      </c>
      <c r="K19" s="86" t="n">
        <f aca="false">$K$17</f>
        <v>1</v>
      </c>
      <c r="L19" s="86" t="n">
        <f aca="false">E19*K19</f>
        <v>15</v>
      </c>
    </row>
    <row r="20" customFormat="false" ht="15" hidden="false" customHeight="true" outlineLevel="0" collapsed="false">
      <c r="A20" s="87"/>
      <c r="B20" s="88" t="s">
        <v>542</v>
      </c>
      <c r="C20" s="87"/>
      <c r="D20" s="87"/>
      <c r="E20" s="87"/>
      <c r="F20" s="87"/>
      <c r="G20" s="89" t="n">
        <f aca="false">SUM(G19:G19)</f>
        <v>1957500</v>
      </c>
      <c r="H20" s="24"/>
      <c r="I20" s="24"/>
      <c r="J20" s="24"/>
      <c r="K20" s="24"/>
      <c r="L20" s="24"/>
    </row>
    <row r="21" customFormat="false" ht="15" hidden="false" customHeight="true" outlineLevel="0" collapsed="false">
      <c r="A21" s="83" t="s">
        <v>543</v>
      </c>
      <c r="B21" s="25" t="s">
        <v>544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customFormat="false" ht="15" hidden="false" customHeight="true" outlineLevel="0" collapsed="false">
      <c r="A22" s="87"/>
      <c r="B22" s="88" t="s">
        <v>71</v>
      </c>
      <c r="C22" s="87"/>
      <c r="D22" s="87"/>
      <c r="E22" s="87"/>
      <c r="F22" s="87"/>
      <c r="G22" s="89" t="n">
        <v>0</v>
      </c>
      <c r="H22" s="24"/>
      <c r="I22" s="24"/>
      <c r="J22" s="24"/>
      <c r="K22" s="24"/>
      <c r="L22" s="24"/>
    </row>
    <row r="23" customFormat="false" ht="15" hidden="false" customHeight="true" outlineLevel="0" collapsed="false">
      <c r="A23" s="90" t="s">
        <v>545</v>
      </c>
      <c r="B23" s="91" t="s">
        <v>546</v>
      </c>
      <c r="C23" s="92"/>
      <c r="D23" s="92"/>
      <c r="E23" s="92"/>
      <c r="F23" s="92"/>
      <c r="G23" s="93" t="n">
        <f aca="false">G20+G22</f>
        <v>1957500</v>
      </c>
      <c r="H23" s="24"/>
      <c r="I23" s="24"/>
      <c r="J23" s="24"/>
      <c r="K23" s="24"/>
      <c r="L23" s="24"/>
    </row>
    <row r="24" customFormat="false" ht="15" hidden="false" customHeight="true" outlineLevel="0" collapsed="false">
      <c r="A24" s="37" t="s">
        <v>547</v>
      </c>
      <c r="B24" s="20" t="s">
        <v>548</v>
      </c>
      <c r="C24" s="24"/>
      <c r="D24" s="24"/>
      <c r="E24" s="94" t="n">
        <f aca="false">Parameter!$B$4</f>
        <v>0.15</v>
      </c>
      <c r="F24" s="24"/>
      <c r="G24" s="21" t="n">
        <f aca="false">G23*E24</f>
        <v>293625</v>
      </c>
      <c r="H24" s="24"/>
      <c r="I24" s="24"/>
      <c r="J24" s="24"/>
      <c r="K24" s="24"/>
      <c r="L24" s="24"/>
    </row>
    <row r="25" customFormat="false" ht="15" hidden="false" customHeight="true" outlineLevel="0" collapsed="false">
      <c r="A25" s="95" t="s">
        <v>549</v>
      </c>
      <c r="B25" s="96" t="s">
        <v>550</v>
      </c>
      <c r="C25" s="97"/>
      <c r="D25" s="97"/>
      <c r="E25" s="97"/>
      <c r="F25" s="97"/>
      <c r="G25" s="98" t="n">
        <f aca="false">G23+G24</f>
        <v>2251125</v>
      </c>
      <c r="H25" s="24"/>
      <c r="I25" s="24"/>
      <c r="J25" s="24"/>
      <c r="K25" s="24"/>
      <c r="L25" s="24"/>
    </row>
    <row r="27" customFormat="false" ht="23.25" hidden="false" customHeight="true" outlineLevel="0" collapsed="false">
      <c r="A27" s="35" t="s">
        <v>87</v>
      </c>
      <c r="B27" s="35" t="s">
        <v>552</v>
      </c>
      <c r="C27" s="35"/>
      <c r="D27" s="35"/>
      <c r="E27" s="35"/>
      <c r="F27" s="35"/>
      <c r="G27" s="35"/>
      <c r="H27" s="35"/>
      <c r="I27" s="35"/>
      <c r="J27" s="81" t="s">
        <v>537</v>
      </c>
      <c r="K27" s="82" t="n">
        <v>1</v>
      </c>
      <c r="L27" s="35"/>
    </row>
    <row r="28" customFormat="false" ht="15" hidden="false" customHeight="true" outlineLevel="0" collapsed="false">
      <c r="A28" s="83" t="s">
        <v>538</v>
      </c>
      <c r="B28" s="25" t="s">
        <v>539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customFormat="false" ht="15" hidden="false" customHeight="true" outlineLevel="0" collapsed="false">
      <c r="A29" s="87"/>
      <c r="B29" s="88" t="s">
        <v>542</v>
      </c>
      <c r="C29" s="87"/>
      <c r="D29" s="87"/>
      <c r="E29" s="87"/>
      <c r="F29" s="87"/>
      <c r="G29" s="89" t="n">
        <v>0</v>
      </c>
      <c r="H29" s="24"/>
      <c r="I29" s="24"/>
      <c r="J29" s="24"/>
      <c r="K29" s="24"/>
      <c r="L29" s="24"/>
    </row>
    <row r="30" customFormat="false" ht="15" hidden="false" customHeight="true" outlineLevel="0" collapsed="false">
      <c r="A30" s="83" t="s">
        <v>543</v>
      </c>
      <c r="B30" s="25" t="s">
        <v>544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customFormat="false" ht="15" hidden="false" customHeight="true" outlineLevel="0" collapsed="false">
      <c r="A31" s="24"/>
      <c r="B31" s="20" t="s">
        <v>88</v>
      </c>
      <c r="C31" s="37" t="s">
        <v>457</v>
      </c>
      <c r="D31" s="37" t="s">
        <v>458</v>
      </c>
      <c r="E31" s="84" t="n">
        <v>1</v>
      </c>
      <c r="F31" s="21" t="n">
        <f aca="false">VLOOKUP(C31,'Perhitungan Bahan'!$A$5:$J$61,10,FALSE())</f>
        <v>1500000</v>
      </c>
      <c r="G31" s="21" t="n">
        <f aca="false">E31*F31</f>
        <v>1500000</v>
      </c>
      <c r="H31" s="85" t="s">
        <v>87</v>
      </c>
      <c r="I31" s="85" t="s">
        <v>77</v>
      </c>
      <c r="J31" s="85" t="s">
        <v>282</v>
      </c>
      <c r="K31" s="86" t="n">
        <f aca="false">$K$27</f>
        <v>1</v>
      </c>
      <c r="L31" s="86" t="n">
        <f aca="false">E31*K31</f>
        <v>1</v>
      </c>
    </row>
    <row r="32" customFormat="false" ht="15" hidden="false" customHeight="true" outlineLevel="0" collapsed="false">
      <c r="A32" s="87"/>
      <c r="B32" s="88" t="s">
        <v>71</v>
      </c>
      <c r="C32" s="87"/>
      <c r="D32" s="87"/>
      <c r="E32" s="87"/>
      <c r="F32" s="87"/>
      <c r="G32" s="89" t="n">
        <f aca="false">SUM(G31:G31)</f>
        <v>1500000</v>
      </c>
      <c r="H32" s="24"/>
      <c r="I32" s="24"/>
      <c r="J32" s="24"/>
      <c r="K32" s="24"/>
      <c r="L32" s="24"/>
    </row>
    <row r="33" customFormat="false" ht="15" hidden="false" customHeight="true" outlineLevel="0" collapsed="false">
      <c r="A33" s="90" t="s">
        <v>545</v>
      </c>
      <c r="B33" s="91" t="s">
        <v>546</v>
      </c>
      <c r="C33" s="92"/>
      <c r="D33" s="92"/>
      <c r="E33" s="92"/>
      <c r="F33" s="92"/>
      <c r="G33" s="93" t="n">
        <f aca="false">G29+G32</f>
        <v>1500000</v>
      </c>
      <c r="H33" s="24"/>
      <c r="I33" s="24"/>
      <c r="J33" s="24"/>
      <c r="K33" s="24"/>
      <c r="L33" s="24"/>
    </row>
    <row r="34" customFormat="false" ht="15" hidden="false" customHeight="true" outlineLevel="0" collapsed="false">
      <c r="A34" s="37" t="s">
        <v>547</v>
      </c>
      <c r="B34" s="20" t="s">
        <v>548</v>
      </c>
      <c r="C34" s="24"/>
      <c r="D34" s="24"/>
      <c r="E34" s="94" t="n">
        <f aca="false">Parameter!$B$4</f>
        <v>0.15</v>
      </c>
      <c r="F34" s="24"/>
      <c r="G34" s="21" t="n">
        <f aca="false">G33*E34</f>
        <v>225000</v>
      </c>
      <c r="H34" s="24"/>
      <c r="I34" s="24"/>
      <c r="J34" s="24"/>
      <c r="K34" s="24"/>
      <c r="L34" s="24"/>
    </row>
    <row r="35" customFormat="false" ht="15" hidden="false" customHeight="true" outlineLevel="0" collapsed="false">
      <c r="A35" s="95" t="s">
        <v>549</v>
      </c>
      <c r="B35" s="96" t="s">
        <v>550</v>
      </c>
      <c r="C35" s="97"/>
      <c r="D35" s="97"/>
      <c r="E35" s="97"/>
      <c r="F35" s="97"/>
      <c r="G35" s="98" t="n">
        <f aca="false">G33+G34</f>
        <v>1725000</v>
      </c>
      <c r="H35" s="24"/>
      <c r="I35" s="24"/>
      <c r="J35" s="24"/>
      <c r="K35" s="24"/>
      <c r="L35" s="24"/>
    </row>
    <row r="37" customFormat="false" ht="23.25" hidden="false" customHeight="true" outlineLevel="0" collapsed="false">
      <c r="A37" s="35" t="s">
        <v>91</v>
      </c>
      <c r="B37" s="35" t="s">
        <v>553</v>
      </c>
      <c r="C37" s="35"/>
      <c r="D37" s="35"/>
      <c r="E37" s="35"/>
      <c r="F37" s="35"/>
      <c r="G37" s="35"/>
      <c r="H37" s="35"/>
      <c r="I37" s="35"/>
      <c r="J37" s="81" t="s">
        <v>537</v>
      </c>
      <c r="K37" s="82" t="n">
        <f aca="false">Volume!$B$31</f>
        <v>24.84</v>
      </c>
      <c r="L37" s="35"/>
    </row>
    <row r="38" customFormat="false" ht="15" hidden="false" customHeight="true" outlineLevel="0" collapsed="false">
      <c r="A38" s="83" t="s">
        <v>538</v>
      </c>
      <c r="B38" s="25" t="s">
        <v>539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customFormat="false" ht="15" hidden="false" customHeight="true" outlineLevel="0" collapsed="false">
      <c r="A39" s="24"/>
      <c r="B39" s="20" t="s">
        <v>487</v>
      </c>
      <c r="C39" s="37" t="s">
        <v>488</v>
      </c>
      <c r="D39" s="37" t="s">
        <v>540</v>
      </c>
      <c r="E39" s="84" t="n">
        <v>0.6375</v>
      </c>
      <c r="F39" s="21" t="n">
        <f aca="false">INDEX('Perhitungan Upah'!$C$5:$C$13,MATCH(C39,'Perhitungan Upah'!$B$5:$B$13,0))</f>
        <v>130500</v>
      </c>
      <c r="G39" s="21" t="n">
        <f aca="false">E39*F39</f>
        <v>83193.75</v>
      </c>
      <c r="H39" s="85" t="s">
        <v>91</v>
      </c>
      <c r="I39" s="85" t="s">
        <v>89</v>
      </c>
      <c r="J39" s="85" t="s">
        <v>541</v>
      </c>
      <c r="K39" s="86" t="n">
        <f aca="false">$K$37</f>
        <v>24.84</v>
      </c>
      <c r="L39" s="86" t="n">
        <f aca="false">E39*K39</f>
        <v>15.8355</v>
      </c>
    </row>
    <row r="40" customFormat="false" ht="15" hidden="false" customHeight="true" outlineLevel="0" collapsed="false">
      <c r="A40" s="24"/>
      <c r="B40" s="20" t="s">
        <v>504</v>
      </c>
      <c r="C40" s="37" t="s">
        <v>505</v>
      </c>
      <c r="D40" s="37" t="s">
        <v>540</v>
      </c>
      <c r="E40" s="84" t="n">
        <v>0.0213</v>
      </c>
      <c r="F40" s="21" t="n">
        <f aca="false">INDEX('Perhitungan Upah'!$C$5:$C$13,MATCH(C40,'Perhitungan Upah'!$B$5:$B$13,0))</f>
        <v>228300</v>
      </c>
      <c r="G40" s="21" t="n">
        <f aca="false">E40*F40</f>
        <v>4862.79</v>
      </c>
      <c r="H40" s="85" t="s">
        <v>91</v>
      </c>
      <c r="I40" s="85" t="s">
        <v>89</v>
      </c>
      <c r="J40" s="85" t="s">
        <v>541</v>
      </c>
      <c r="K40" s="86" t="n">
        <f aca="false">$K$37</f>
        <v>24.84</v>
      </c>
      <c r="L40" s="86" t="n">
        <f aca="false">E40*K40</f>
        <v>0.529092</v>
      </c>
    </row>
    <row r="41" customFormat="false" ht="15" hidden="false" customHeight="true" outlineLevel="0" collapsed="false">
      <c r="A41" s="87"/>
      <c r="B41" s="88" t="s">
        <v>542</v>
      </c>
      <c r="C41" s="87"/>
      <c r="D41" s="87"/>
      <c r="E41" s="87"/>
      <c r="F41" s="87"/>
      <c r="G41" s="89" t="n">
        <f aca="false">SUM(G39:G40)</f>
        <v>88056.54</v>
      </c>
      <c r="H41" s="24"/>
      <c r="I41" s="24"/>
      <c r="J41" s="24"/>
      <c r="K41" s="24"/>
      <c r="L41" s="24"/>
    </row>
    <row r="42" customFormat="false" ht="15" hidden="false" customHeight="true" outlineLevel="0" collapsed="false">
      <c r="A42" s="83" t="s">
        <v>543</v>
      </c>
      <c r="B42" s="25" t="s">
        <v>544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customFormat="false" ht="15" hidden="false" customHeight="true" outlineLevel="0" collapsed="false">
      <c r="A43" s="87"/>
      <c r="B43" s="88" t="s">
        <v>71</v>
      </c>
      <c r="C43" s="87"/>
      <c r="D43" s="87"/>
      <c r="E43" s="87"/>
      <c r="F43" s="87"/>
      <c r="G43" s="89" t="n">
        <v>0</v>
      </c>
      <c r="H43" s="24"/>
      <c r="I43" s="24"/>
      <c r="J43" s="24"/>
      <c r="K43" s="24"/>
      <c r="L43" s="24"/>
    </row>
    <row r="44" customFormat="false" ht="15" hidden="false" customHeight="true" outlineLevel="0" collapsed="false">
      <c r="A44" s="90" t="s">
        <v>545</v>
      </c>
      <c r="B44" s="91" t="s">
        <v>546</v>
      </c>
      <c r="C44" s="92"/>
      <c r="D44" s="92"/>
      <c r="E44" s="92"/>
      <c r="F44" s="92"/>
      <c r="G44" s="93" t="n">
        <f aca="false">G41+G43</f>
        <v>88056.54</v>
      </c>
      <c r="H44" s="24"/>
      <c r="I44" s="24"/>
      <c r="J44" s="24"/>
      <c r="K44" s="24"/>
      <c r="L44" s="24"/>
    </row>
    <row r="45" customFormat="false" ht="15" hidden="false" customHeight="true" outlineLevel="0" collapsed="false">
      <c r="A45" s="37" t="s">
        <v>547</v>
      </c>
      <c r="B45" s="20" t="s">
        <v>548</v>
      </c>
      <c r="C45" s="24"/>
      <c r="D45" s="24"/>
      <c r="E45" s="94" t="n">
        <f aca="false">Parameter!$B$4</f>
        <v>0.15</v>
      </c>
      <c r="F45" s="24"/>
      <c r="G45" s="21" t="n">
        <f aca="false">G44*E45</f>
        <v>13208.481</v>
      </c>
      <c r="H45" s="24"/>
      <c r="I45" s="24"/>
      <c r="J45" s="24"/>
      <c r="K45" s="24"/>
      <c r="L45" s="24"/>
    </row>
    <row r="46" customFormat="false" ht="15" hidden="false" customHeight="true" outlineLevel="0" collapsed="false">
      <c r="A46" s="95" t="s">
        <v>549</v>
      </c>
      <c r="B46" s="96" t="s">
        <v>550</v>
      </c>
      <c r="C46" s="97"/>
      <c r="D46" s="97"/>
      <c r="E46" s="97"/>
      <c r="F46" s="97"/>
      <c r="G46" s="98" t="n">
        <f aca="false">G44+G45</f>
        <v>101265.021</v>
      </c>
      <c r="H46" s="24"/>
      <c r="I46" s="24"/>
      <c r="J46" s="24"/>
      <c r="K46" s="24"/>
      <c r="L46" s="24"/>
    </row>
    <row r="48" customFormat="false" ht="23.25" hidden="false" customHeight="true" outlineLevel="0" collapsed="false">
      <c r="A48" s="35" t="s">
        <v>94</v>
      </c>
      <c r="B48" s="35" t="s">
        <v>554</v>
      </c>
      <c r="C48" s="35"/>
      <c r="D48" s="35"/>
      <c r="E48" s="35"/>
      <c r="F48" s="35"/>
      <c r="G48" s="35"/>
      <c r="H48" s="35"/>
      <c r="I48" s="35"/>
      <c r="J48" s="81" t="s">
        <v>537</v>
      </c>
      <c r="K48" s="82" t="n">
        <f aca="false">Volume!$B$32</f>
        <v>1.5525</v>
      </c>
      <c r="L48" s="35"/>
    </row>
    <row r="49" customFormat="false" ht="15" hidden="false" customHeight="true" outlineLevel="0" collapsed="false">
      <c r="A49" s="83" t="s">
        <v>538</v>
      </c>
      <c r="B49" s="25" t="s">
        <v>539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customFormat="false" ht="15" hidden="false" customHeight="true" outlineLevel="0" collapsed="false">
      <c r="A50" s="24"/>
      <c r="B50" s="20" t="s">
        <v>487</v>
      </c>
      <c r="C50" s="37" t="s">
        <v>488</v>
      </c>
      <c r="D50" s="37" t="s">
        <v>540</v>
      </c>
      <c r="E50" s="84" t="n">
        <v>0.255</v>
      </c>
      <c r="F50" s="21" t="n">
        <f aca="false">INDEX('Perhitungan Upah'!$C$5:$C$13,MATCH(C50,'Perhitungan Upah'!$B$5:$B$13,0))</f>
        <v>130500</v>
      </c>
      <c r="G50" s="21" t="n">
        <f aca="false">E50*F50</f>
        <v>33277.5</v>
      </c>
      <c r="H50" s="85" t="s">
        <v>94</v>
      </c>
      <c r="I50" s="85" t="s">
        <v>89</v>
      </c>
      <c r="J50" s="85" t="s">
        <v>541</v>
      </c>
      <c r="K50" s="86" t="n">
        <f aca="false">$K$48</f>
        <v>1.5525</v>
      </c>
      <c r="L50" s="86" t="n">
        <f aca="false">E50*K50</f>
        <v>0.3958875</v>
      </c>
    </row>
    <row r="51" customFormat="false" ht="15" hidden="false" customHeight="true" outlineLevel="0" collapsed="false">
      <c r="A51" s="24"/>
      <c r="B51" s="20" t="s">
        <v>504</v>
      </c>
      <c r="C51" s="37" t="s">
        <v>505</v>
      </c>
      <c r="D51" s="37" t="s">
        <v>540</v>
      </c>
      <c r="E51" s="84" t="n">
        <v>0.0085</v>
      </c>
      <c r="F51" s="21" t="n">
        <f aca="false">INDEX('Perhitungan Upah'!$C$5:$C$13,MATCH(C51,'Perhitungan Upah'!$B$5:$B$13,0))</f>
        <v>228300</v>
      </c>
      <c r="G51" s="21" t="n">
        <f aca="false">E51*F51</f>
        <v>1940.55</v>
      </c>
      <c r="H51" s="85" t="s">
        <v>94</v>
      </c>
      <c r="I51" s="85" t="s">
        <v>89</v>
      </c>
      <c r="J51" s="85" t="s">
        <v>541</v>
      </c>
      <c r="K51" s="86" t="n">
        <f aca="false">$K$48</f>
        <v>1.5525</v>
      </c>
      <c r="L51" s="86" t="n">
        <f aca="false">E51*K51</f>
        <v>0.01319625</v>
      </c>
    </row>
    <row r="52" customFormat="false" ht="15" hidden="false" customHeight="true" outlineLevel="0" collapsed="false">
      <c r="A52" s="87"/>
      <c r="B52" s="88" t="s">
        <v>542</v>
      </c>
      <c r="C52" s="87"/>
      <c r="D52" s="87"/>
      <c r="E52" s="87"/>
      <c r="F52" s="87"/>
      <c r="G52" s="89" t="n">
        <f aca="false">SUM(G50:G51)</f>
        <v>35218.05</v>
      </c>
      <c r="H52" s="24"/>
      <c r="I52" s="24"/>
      <c r="J52" s="24"/>
      <c r="K52" s="24"/>
      <c r="L52" s="24"/>
    </row>
    <row r="53" customFormat="false" ht="15" hidden="false" customHeight="true" outlineLevel="0" collapsed="false">
      <c r="A53" s="83" t="s">
        <v>543</v>
      </c>
      <c r="B53" s="25" t="s">
        <v>544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true" outlineLevel="0" collapsed="false">
      <c r="A54" s="24"/>
      <c r="B54" s="20" t="s">
        <v>315</v>
      </c>
      <c r="C54" s="37" t="s">
        <v>314</v>
      </c>
      <c r="D54" s="37" t="s">
        <v>93</v>
      </c>
      <c r="E54" s="84" t="n">
        <v>1.2</v>
      </c>
      <c r="F54" s="21" t="n">
        <f aca="false">VLOOKUP(C54,'Perhitungan Bahan'!$A$5:$J$61,10,FALSE())</f>
        <v>209000</v>
      </c>
      <c r="G54" s="21" t="n">
        <f aca="false">E54*F54</f>
        <v>250800</v>
      </c>
      <c r="H54" s="85" t="s">
        <v>94</v>
      </c>
      <c r="I54" s="85" t="s">
        <v>89</v>
      </c>
      <c r="J54" s="85" t="s">
        <v>282</v>
      </c>
      <c r="K54" s="86" t="n">
        <f aca="false">$K$48</f>
        <v>1.5525</v>
      </c>
      <c r="L54" s="86" t="n">
        <f aca="false">E54*K54</f>
        <v>1.863</v>
      </c>
    </row>
    <row r="55" customFormat="false" ht="15" hidden="false" customHeight="true" outlineLevel="0" collapsed="false">
      <c r="A55" s="87"/>
      <c r="B55" s="88" t="s">
        <v>71</v>
      </c>
      <c r="C55" s="87"/>
      <c r="D55" s="87"/>
      <c r="E55" s="87"/>
      <c r="F55" s="87"/>
      <c r="G55" s="89" t="n">
        <f aca="false">SUM(G54:G54)</f>
        <v>250800</v>
      </c>
      <c r="H55" s="24"/>
      <c r="I55" s="24"/>
      <c r="J55" s="24"/>
      <c r="K55" s="24"/>
      <c r="L55" s="24"/>
    </row>
    <row r="56" customFormat="false" ht="15" hidden="false" customHeight="true" outlineLevel="0" collapsed="false">
      <c r="A56" s="90" t="s">
        <v>545</v>
      </c>
      <c r="B56" s="91" t="s">
        <v>546</v>
      </c>
      <c r="C56" s="92"/>
      <c r="D56" s="92"/>
      <c r="E56" s="92"/>
      <c r="F56" s="92"/>
      <c r="G56" s="93" t="n">
        <f aca="false">G52+G55</f>
        <v>286018.05</v>
      </c>
      <c r="H56" s="24"/>
      <c r="I56" s="24"/>
      <c r="J56" s="24"/>
      <c r="K56" s="24"/>
      <c r="L56" s="24"/>
    </row>
    <row r="57" customFormat="false" ht="15" hidden="false" customHeight="true" outlineLevel="0" collapsed="false">
      <c r="A57" s="37" t="s">
        <v>547</v>
      </c>
      <c r="B57" s="20" t="s">
        <v>548</v>
      </c>
      <c r="C57" s="24"/>
      <c r="D57" s="24"/>
      <c r="E57" s="94" t="n">
        <f aca="false">Parameter!$B$4</f>
        <v>0.15</v>
      </c>
      <c r="F57" s="24"/>
      <c r="G57" s="21" t="n">
        <f aca="false">G56*E57</f>
        <v>42902.7075</v>
      </c>
      <c r="H57" s="24"/>
      <c r="I57" s="24"/>
      <c r="J57" s="24"/>
      <c r="K57" s="24"/>
      <c r="L57" s="24"/>
    </row>
    <row r="58" customFormat="false" ht="15" hidden="false" customHeight="true" outlineLevel="0" collapsed="false">
      <c r="A58" s="95" t="s">
        <v>549</v>
      </c>
      <c r="B58" s="96" t="s">
        <v>550</v>
      </c>
      <c r="C58" s="97"/>
      <c r="D58" s="97"/>
      <c r="E58" s="97"/>
      <c r="F58" s="97"/>
      <c r="G58" s="98" t="n">
        <f aca="false">G56+G57</f>
        <v>328920.7575</v>
      </c>
      <c r="H58" s="24"/>
      <c r="I58" s="24"/>
      <c r="J58" s="24"/>
      <c r="K58" s="24"/>
      <c r="L58" s="24"/>
    </row>
    <row r="60" customFormat="false" ht="23.25" hidden="false" customHeight="true" outlineLevel="0" collapsed="false">
      <c r="A60" s="35" t="s">
        <v>96</v>
      </c>
      <c r="B60" s="35" t="s">
        <v>555</v>
      </c>
      <c r="C60" s="35"/>
      <c r="D60" s="35"/>
      <c r="E60" s="35"/>
      <c r="F60" s="35"/>
      <c r="G60" s="35"/>
      <c r="H60" s="35"/>
      <c r="I60" s="35"/>
      <c r="J60" s="81" t="s">
        <v>537</v>
      </c>
      <c r="K60" s="82" t="n">
        <f aca="false">Volume!$B$33</f>
        <v>10.35</v>
      </c>
      <c r="L60" s="35"/>
    </row>
    <row r="61" customFormat="false" ht="15" hidden="false" customHeight="true" outlineLevel="0" collapsed="false">
      <c r="A61" s="83" t="s">
        <v>538</v>
      </c>
      <c r="B61" s="25" t="s">
        <v>539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customFormat="false" ht="15" hidden="false" customHeight="true" outlineLevel="0" collapsed="false">
      <c r="A62" s="24"/>
      <c r="B62" s="20" t="s">
        <v>487</v>
      </c>
      <c r="C62" s="37" t="s">
        <v>488</v>
      </c>
      <c r="D62" s="37" t="s">
        <v>540</v>
      </c>
      <c r="E62" s="84" t="n">
        <v>0.9</v>
      </c>
      <c r="F62" s="21" t="n">
        <f aca="false">INDEX('Perhitungan Upah'!$C$5:$C$13,MATCH(C62,'Perhitungan Upah'!$B$5:$B$13,0))</f>
        <v>130500</v>
      </c>
      <c r="G62" s="21" t="n">
        <f aca="false">E62*F62</f>
        <v>117450</v>
      </c>
      <c r="H62" s="85" t="s">
        <v>96</v>
      </c>
      <c r="I62" s="85" t="s">
        <v>89</v>
      </c>
      <c r="J62" s="85" t="s">
        <v>541</v>
      </c>
      <c r="K62" s="86" t="n">
        <f aca="false">$K$60</f>
        <v>10.35</v>
      </c>
      <c r="L62" s="86" t="n">
        <f aca="false">E62*K62</f>
        <v>9.315</v>
      </c>
    </row>
    <row r="63" customFormat="false" ht="15" hidden="false" customHeight="true" outlineLevel="0" collapsed="false">
      <c r="A63" s="24"/>
      <c r="B63" s="20" t="s">
        <v>490</v>
      </c>
      <c r="C63" s="37" t="s">
        <v>491</v>
      </c>
      <c r="D63" s="37" t="s">
        <v>540</v>
      </c>
      <c r="E63" s="84" t="n">
        <v>0.45</v>
      </c>
      <c r="F63" s="21" t="n">
        <f aca="false">INDEX('Perhitungan Upah'!$C$5:$C$13,MATCH(C63,'Perhitungan Upah'!$B$5:$B$13,0))</f>
        <v>175300</v>
      </c>
      <c r="G63" s="21" t="n">
        <f aca="false">E63*F63</f>
        <v>78885</v>
      </c>
      <c r="H63" s="85" t="s">
        <v>96</v>
      </c>
      <c r="I63" s="85" t="s">
        <v>89</v>
      </c>
      <c r="J63" s="85" t="s">
        <v>541</v>
      </c>
      <c r="K63" s="86" t="n">
        <f aca="false">$K$60</f>
        <v>10.35</v>
      </c>
      <c r="L63" s="86" t="n">
        <f aca="false">E63*K63</f>
        <v>4.6575</v>
      </c>
    </row>
    <row r="64" customFormat="false" ht="15" hidden="false" customHeight="true" outlineLevel="0" collapsed="false">
      <c r="A64" s="24"/>
      <c r="B64" s="20" t="s">
        <v>502</v>
      </c>
      <c r="C64" s="37" t="s">
        <v>503</v>
      </c>
      <c r="D64" s="37" t="s">
        <v>540</v>
      </c>
      <c r="E64" s="84" t="n">
        <v>0.045</v>
      </c>
      <c r="F64" s="21" t="n">
        <f aca="false">INDEX('Perhitungan Upah'!$C$5:$C$13,MATCH(C64,'Perhitungan Upah'!$B$5:$B$13,0))</f>
        <v>198900</v>
      </c>
      <c r="G64" s="21" t="n">
        <f aca="false">E64*F64</f>
        <v>8950.5</v>
      </c>
      <c r="H64" s="85" t="s">
        <v>96</v>
      </c>
      <c r="I64" s="85" t="s">
        <v>89</v>
      </c>
      <c r="J64" s="85" t="s">
        <v>541</v>
      </c>
      <c r="K64" s="86" t="n">
        <f aca="false">$K$60</f>
        <v>10.35</v>
      </c>
      <c r="L64" s="86" t="n">
        <f aca="false">E64*K64</f>
        <v>0.46575</v>
      </c>
    </row>
    <row r="65" customFormat="false" ht="15" hidden="false" customHeight="true" outlineLevel="0" collapsed="false">
      <c r="A65" s="24"/>
      <c r="B65" s="20" t="s">
        <v>504</v>
      </c>
      <c r="C65" s="37" t="s">
        <v>505</v>
      </c>
      <c r="D65" s="37" t="s">
        <v>540</v>
      </c>
      <c r="E65" s="84" t="n">
        <v>0.045</v>
      </c>
      <c r="F65" s="21" t="n">
        <f aca="false">INDEX('Perhitungan Upah'!$C$5:$C$13,MATCH(C65,'Perhitungan Upah'!$B$5:$B$13,0))</f>
        <v>228300</v>
      </c>
      <c r="G65" s="21" t="n">
        <f aca="false">E65*F65</f>
        <v>10273.5</v>
      </c>
      <c r="H65" s="85" t="s">
        <v>96</v>
      </c>
      <c r="I65" s="85" t="s">
        <v>89</v>
      </c>
      <c r="J65" s="85" t="s">
        <v>541</v>
      </c>
      <c r="K65" s="86" t="n">
        <f aca="false">$K$60</f>
        <v>10.35</v>
      </c>
      <c r="L65" s="86" t="n">
        <f aca="false">E65*K65</f>
        <v>0.46575</v>
      </c>
    </row>
    <row r="66" customFormat="false" ht="15" hidden="false" customHeight="true" outlineLevel="0" collapsed="false">
      <c r="A66" s="87"/>
      <c r="B66" s="88" t="s">
        <v>542</v>
      </c>
      <c r="C66" s="87"/>
      <c r="D66" s="87"/>
      <c r="E66" s="87"/>
      <c r="F66" s="87"/>
      <c r="G66" s="89" t="n">
        <f aca="false">SUM(G62:G65)</f>
        <v>215559</v>
      </c>
      <c r="H66" s="24"/>
      <c r="I66" s="24"/>
      <c r="J66" s="24"/>
      <c r="K66" s="24"/>
      <c r="L66" s="24"/>
    </row>
    <row r="67" customFormat="false" ht="15" hidden="false" customHeight="true" outlineLevel="0" collapsed="false">
      <c r="A67" s="83" t="s">
        <v>543</v>
      </c>
      <c r="B67" s="25" t="s">
        <v>544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customFormat="false" ht="15" hidden="false" customHeight="true" outlineLevel="0" collapsed="false">
      <c r="A68" s="24"/>
      <c r="B68" s="20" t="s">
        <v>318</v>
      </c>
      <c r="C68" s="37" t="s">
        <v>317</v>
      </c>
      <c r="D68" s="37" t="s">
        <v>93</v>
      </c>
      <c r="E68" s="84" t="n">
        <v>1.2</v>
      </c>
      <c r="F68" s="21" t="n">
        <f aca="false">VLOOKUP(C68,'Perhitungan Bahan'!$A$5:$J$61,10,FALSE())</f>
        <v>343200</v>
      </c>
      <c r="G68" s="21" t="n">
        <f aca="false">E68*F68</f>
        <v>411840</v>
      </c>
      <c r="H68" s="85" t="s">
        <v>96</v>
      </c>
      <c r="I68" s="85" t="s">
        <v>89</v>
      </c>
      <c r="J68" s="85" t="s">
        <v>282</v>
      </c>
      <c r="K68" s="86" t="n">
        <f aca="false">$K$60</f>
        <v>10.35</v>
      </c>
      <c r="L68" s="86" t="n">
        <f aca="false">E68*K68</f>
        <v>12.42</v>
      </c>
    </row>
    <row r="69" customFormat="false" ht="15" hidden="false" customHeight="true" outlineLevel="0" collapsed="false">
      <c r="A69" s="24"/>
      <c r="B69" s="20" t="s">
        <v>297</v>
      </c>
      <c r="C69" s="37" t="s">
        <v>296</v>
      </c>
      <c r="D69" s="37" t="s">
        <v>299</v>
      </c>
      <c r="E69" s="84" t="n">
        <v>171.15</v>
      </c>
      <c r="F69" s="21" t="n">
        <f aca="false">VLOOKUP(C69,'Perhitungan Bahan'!$A$5:$J$61,10,FALSE())</f>
        <v>1575</v>
      </c>
      <c r="G69" s="21" t="n">
        <f aca="false">E69*F69</f>
        <v>269561.25</v>
      </c>
      <c r="H69" s="85" t="s">
        <v>96</v>
      </c>
      <c r="I69" s="85" t="s">
        <v>89</v>
      </c>
      <c r="J69" s="85" t="s">
        <v>282</v>
      </c>
      <c r="K69" s="86" t="n">
        <f aca="false">$K$60</f>
        <v>10.35</v>
      </c>
      <c r="L69" s="86" t="n">
        <f aca="false">E69*K69</f>
        <v>1771.4025</v>
      </c>
    </row>
    <row r="70" customFormat="false" ht="15" hidden="false" customHeight="true" outlineLevel="0" collapsed="false">
      <c r="A70" s="24"/>
      <c r="B70" s="20" t="s">
        <v>305</v>
      </c>
      <c r="C70" s="37" t="s">
        <v>304</v>
      </c>
      <c r="D70" s="37" t="s">
        <v>93</v>
      </c>
      <c r="E70" s="84" t="n">
        <v>0.572</v>
      </c>
      <c r="F70" s="21" t="n">
        <f aca="false">VLOOKUP(C70,'Perhitungan Bahan'!$A$5:$J$61,10,FALSE())</f>
        <v>295200</v>
      </c>
      <c r="G70" s="21" t="n">
        <f aca="false">E70*F70</f>
        <v>168854.4</v>
      </c>
      <c r="H70" s="85" t="s">
        <v>96</v>
      </c>
      <c r="I70" s="85" t="s">
        <v>89</v>
      </c>
      <c r="J70" s="85" t="s">
        <v>282</v>
      </c>
      <c r="K70" s="86" t="n">
        <f aca="false">$K$60</f>
        <v>10.35</v>
      </c>
      <c r="L70" s="86" t="n">
        <f aca="false">E70*K70</f>
        <v>5.9202</v>
      </c>
    </row>
    <row r="71" customFormat="false" ht="15" hidden="false" customHeight="true" outlineLevel="0" collapsed="false">
      <c r="A71" s="87"/>
      <c r="B71" s="88" t="s">
        <v>71</v>
      </c>
      <c r="C71" s="87"/>
      <c r="D71" s="87"/>
      <c r="E71" s="87"/>
      <c r="F71" s="87"/>
      <c r="G71" s="89" t="n">
        <f aca="false">SUM(G68:G70)</f>
        <v>850255.65</v>
      </c>
      <c r="H71" s="24"/>
      <c r="I71" s="24"/>
      <c r="J71" s="24"/>
      <c r="K71" s="24"/>
      <c r="L71" s="24"/>
    </row>
    <row r="72" customFormat="false" ht="15" hidden="false" customHeight="true" outlineLevel="0" collapsed="false">
      <c r="A72" s="90" t="s">
        <v>545</v>
      </c>
      <c r="B72" s="91" t="s">
        <v>546</v>
      </c>
      <c r="C72" s="92"/>
      <c r="D72" s="92"/>
      <c r="E72" s="92"/>
      <c r="F72" s="92"/>
      <c r="G72" s="93" t="n">
        <f aca="false">G66+G71</f>
        <v>1065814.65</v>
      </c>
      <c r="H72" s="24"/>
      <c r="I72" s="24"/>
      <c r="J72" s="24"/>
      <c r="K72" s="24"/>
      <c r="L72" s="24"/>
    </row>
    <row r="73" customFormat="false" ht="15" hidden="false" customHeight="true" outlineLevel="0" collapsed="false">
      <c r="A73" s="37" t="s">
        <v>547</v>
      </c>
      <c r="B73" s="20" t="s">
        <v>548</v>
      </c>
      <c r="C73" s="24"/>
      <c r="D73" s="24"/>
      <c r="E73" s="94" t="n">
        <f aca="false">Parameter!$B$4</f>
        <v>0.15</v>
      </c>
      <c r="F73" s="24"/>
      <c r="G73" s="21" t="n">
        <f aca="false">G72*E73</f>
        <v>159872.1975</v>
      </c>
      <c r="H73" s="24"/>
      <c r="I73" s="24"/>
      <c r="J73" s="24"/>
      <c r="K73" s="24"/>
      <c r="L73" s="24"/>
    </row>
    <row r="74" customFormat="false" ht="15" hidden="false" customHeight="true" outlineLevel="0" collapsed="false">
      <c r="A74" s="95" t="s">
        <v>549</v>
      </c>
      <c r="B74" s="96" t="s">
        <v>550</v>
      </c>
      <c r="C74" s="97"/>
      <c r="D74" s="97"/>
      <c r="E74" s="97"/>
      <c r="F74" s="97"/>
      <c r="G74" s="98" t="n">
        <f aca="false">G72+G73</f>
        <v>1225686.8475</v>
      </c>
      <c r="H74" s="24"/>
      <c r="I74" s="24"/>
      <c r="J74" s="24"/>
      <c r="K74" s="24"/>
      <c r="L74" s="24"/>
    </row>
    <row r="76" customFormat="false" ht="23.25" hidden="false" customHeight="true" outlineLevel="0" collapsed="false">
      <c r="A76" s="35" t="s">
        <v>98</v>
      </c>
      <c r="B76" s="35" t="s">
        <v>556</v>
      </c>
      <c r="C76" s="35"/>
      <c r="D76" s="35"/>
      <c r="E76" s="35"/>
      <c r="F76" s="35"/>
      <c r="G76" s="35"/>
      <c r="H76" s="35"/>
      <c r="I76" s="35"/>
      <c r="J76" s="81" t="s">
        <v>537</v>
      </c>
      <c r="K76" s="82" t="n">
        <f aca="false">Volume!$B$34</f>
        <v>12.9375</v>
      </c>
      <c r="L76" s="35"/>
    </row>
    <row r="77" customFormat="false" ht="15" hidden="false" customHeight="true" outlineLevel="0" collapsed="false">
      <c r="A77" s="83" t="s">
        <v>538</v>
      </c>
      <c r="B77" s="25" t="s">
        <v>539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customFormat="false" ht="15" hidden="false" customHeight="true" outlineLevel="0" collapsed="false">
      <c r="A78" s="24"/>
      <c r="B78" s="20" t="s">
        <v>487</v>
      </c>
      <c r="C78" s="37" t="s">
        <v>488</v>
      </c>
      <c r="D78" s="37" t="s">
        <v>540</v>
      </c>
      <c r="E78" s="84" t="n">
        <v>0.3875</v>
      </c>
      <c r="F78" s="21" t="n">
        <f aca="false">INDEX('Perhitungan Upah'!$C$5:$C$13,MATCH(C78,'Perhitungan Upah'!$B$5:$B$13,0))</f>
        <v>130500</v>
      </c>
      <c r="G78" s="21" t="n">
        <f aca="false">E78*F78</f>
        <v>50568.75</v>
      </c>
      <c r="H78" s="85" t="s">
        <v>98</v>
      </c>
      <c r="I78" s="85" t="s">
        <v>89</v>
      </c>
      <c r="J78" s="85" t="s">
        <v>541</v>
      </c>
      <c r="K78" s="86" t="n">
        <f aca="false">$K$76</f>
        <v>12.9375</v>
      </c>
      <c r="L78" s="86" t="n">
        <f aca="false">E78*K78</f>
        <v>5.01328125</v>
      </c>
    </row>
    <row r="79" customFormat="false" ht="15" hidden="false" customHeight="true" outlineLevel="0" collapsed="false">
      <c r="A79" s="24"/>
      <c r="B79" s="20" t="s">
        <v>504</v>
      </c>
      <c r="C79" s="37" t="s">
        <v>505</v>
      </c>
      <c r="D79" s="37" t="s">
        <v>540</v>
      </c>
      <c r="E79" s="84" t="n">
        <v>0.0124</v>
      </c>
      <c r="F79" s="21" t="n">
        <f aca="false">INDEX('Perhitungan Upah'!$C$5:$C$13,MATCH(C79,'Perhitungan Upah'!$B$5:$B$13,0))</f>
        <v>228300</v>
      </c>
      <c r="G79" s="21" t="n">
        <f aca="false">E79*F79</f>
        <v>2830.92</v>
      </c>
      <c r="H79" s="85" t="s">
        <v>98</v>
      </c>
      <c r="I79" s="85" t="s">
        <v>89</v>
      </c>
      <c r="J79" s="85" t="s">
        <v>541</v>
      </c>
      <c r="K79" s="86" t="n">
        <f aca="false">$K$76</f>
        <v>12.9375</v>
      </c>
      <c r="L79" s="86" t="n">
        <f aca="false">E79*K79</f>
        <v>0.160425</v>
      </c>
    </row>
    <row r="80" customFormat="false" ht="15" hidden="false" customHeight="true" outlineLevel="0" collapsed="false">
      <c r="A80" s="87"/>
      <c r="B80" s="88" t="s">
        <v>542</v>
      </c>
      <c r="C80" s="87"/>
      <c r="D80" s="87"/>
      <c r="E80" s="87"/>
      <c r="F80" s="87"/>
      <c r="G80" s="89" t="n">
        <f aca="false">SUM(G78:G79)</f>
        <v>53399.67</v>
      </c>
      <c r="H80" s="24"/>
      <c r="I80" s="24"/>
      <c r="J80" s="24"/>
      <c r="K80" s="24"/>
      <c r="L80" s="24"/>
    </row>
    <row r="81" customFormat="false" ht="15" hidden="false" customHeight="true" outlineLevel="0" collapsed="false">
      <c r="A81" s="83" t="s">
        <v>543</v>
      </c>
      <c r="B81" s="25" t="s">
        <v>544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customFormat="false" ht="15" hidden="false" customHeight="true" outlineLevel="0" collapsed="false">
      <c r="A82" s="87"/>
      <c r="B82" s="88" t="s">
        <v>71</v>
      </c>
      <c r="C82" s="87"/>
      <c r="D82" s="87"/>
      <c r="E82" s="87"/>
      <c r="F82" s="87"/>
      <c r="G82" s="89" t="n">
        <v>0</v>
      </c>
      <c r="H82" s="24"/>
      <c r="I82" s="24"/>
      <c r="J82" s="24"/>
      <c r="K82" s="24"/>
      <c r="L82" s="24"/>
    </row>
    <row r="83" customFormat="false" ht="15" hidden="false" customHeight="true" outlineLevel="0" collapsed="false">
      <c r="A83" s="90" t="s">
        <v>545</v>
      </c>
      <c r="B83" s="91" t="s">
        <v>546</v>
      </c>
      <c r="C83" s="92"/>
      <c r="D83" s="92"/>
      <c r="E83" s="92"/>
      <c r="F83" s="92"/>
      <c r="G83" s="93" t="n">
        <f aca="false">G80+G82</f>
        <v>53399.67</v>
      </c>
      <c r="H83" s="24"/>
      <c r="I83" s="24"/>
      <c r="J83" s="24"/>
      <c r="K83" s="24"/>
      <c r="L83" s="24"/>
    </row>
    <row r="84" customFormat="false" ht="15" hidden="false" customHeight="true" outlineLevel="0" collapsed="false">
      <c r="A84" s="37" t="s">
        <v>547</v>
      </c>
      <c r="B84" s="20" t="s">
        <v>548</v>
      </c>
      <c r="C84" s="24"/>
      <c r="D84" s="24"/>
      <c r="E84" s="94" t="n">
        <f aca="false">Parameter!$B$4</f>
        <v>0.15</v>
      </c>
      <c r="F84" s="24"/>
      <c r="G84" s="21" t="n">
        <f aca="false">G83*E84</f>
        <v>8009.9505</v>
      </c>
      <c r="H84" s="24"/>
      <c r="I84" s="24"/>
      <c r="J84" s="24"/>
      <c r="K84" s="24"/>
      <c r="L84" s="24"/>
    </row>
    <row r="85" customFormat="false" ht="15" hidden="false" customHeight="true" outlineLevel="0" collapsed="false">
      <c r="A85" s="95" t="s">
        <v>549</v>
      </c>
      <c r="B85" s="96" t="s">
        <v>550</v>
      </c>
      <c r="C85" s="97"/>
      <c r="D85" s="97"/>
      <c r="E85" s="97"/>
      <c r="F85" s="97"/>
      <c r="G85" s="98" t="n">
        <f aca="false">G83+G84</f>
        <v>61409.6205</v>
      </c>
      <c r="H85" s="24"/>
      <c r="I85" s="24"/>
      <c r="J85" s="24"/>
      <c r="K85" s="24"/>
      <c r="L85" s="24"/>
    </row>
    <row r="87" customFormat="false" ht="23.25" hidden="false" customHeight="true" outlineLevel="0" collapsed="false">
      <c r="A87" s="35" t="s">
        <v>100</v>
      </c>
      <c r="B87" s="35" t="s">
        <v>557</v>
      </c>
      <c r="C87" s="35"/>
      <c r="D87" s="35"/>
      <c r="E87" s="35"/>
      <c r="F87" s="35"/>
      <c r="G87" s="35"/>
      <c r="H87" s="35"/>
      <c r="I87" s="35"/>
      <c r="J87" s="81" t="s">
        <v>537</v>
      </c>
      <c r="K87" s="82" t="n">
        <f aca="false">Volume!$B$35</f>
        <v>4.05</v>
      </c>
      <c r="L87" s="35"/>
    </row>
    <row r="88" customFormat="false" ht="15" hidden="false" customHeight="true" outlineLevel="0" collapsed="false">
      <c r="A88" s="83" t="s">
        <v>538</v>
      </c>
      <c r="B88" s="25" t="s">
        <v>539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customFormat="false" ht="15" hidden="false" customHeight="true" outlineLevel="0" collapsed="false">
      <c r="A89" s="24"/>
      <c r="B89" s="20" t="s">
        <v>487</v>
      </c>
      <c r="C89" s="37" t="s">
        <v>488</v>
      </c>
      <c r="D89" s="37" t="s">
        <v>540</v>
      </c>
      <c r="E89" s="84" t="n">
        <v>0.255</v>
      </c>
      <c r="F89" s="21" t="n">
        <f aca="false">INDEX('Perhitungan Upah'!$C$5:$C$13,MATCH(C89,'Perhitungan Upah'!$B$5:$B$13,0))</f>
        <v>130500</v>
      </c>
      <c r="G89" s="21" t="n">
        <f aca="false">E89*F89</f>
        <v>33277.5</v>
      </c>
      <c r="H89" s="85" t="s">
        <v>100</v>
      </c>
      <c r="I89" s="85" t="s">
        <v>89</v>
      </c>
      <c r="J89" s="85" t="s">
        <v>541</v>
      </c>
      <c r="K89" s="86" t="n">
        <f aca="false">$K$87</f>
        <v>4.05</v>
      </c>
      <c r="L89" s="86" t="n">
        <f aca="false">E89*K89</f>
        <v>1.03275</v>
      </c>
    </row>
    <row r="90" customFormat="false" ht="15" hidden="false" customHeight="true" outlineLevel="0" collapsed="false">
      <c r="A90" s="24"/>
      <c r="B90" s="20" t="s">
        <v>504</v>
      </c>
      <c r="C90" s="37" t="s">
        <v>505</v>
      </c>
      <c r="D90" s="37" t="s">
        <v>540</v>
      </c>
      <c r="E90" s="84" t="n">
        <v>0.0085</v>
      </c>
      <c r="F90" s="21" t="n">
        <f aca="false">INDEX('Perhitungan Upah'!$C$5:$C$13,MATCH(C90,'Perhitungan Upah'!$B$5:$B$13,0))</f>
        <v>228300</v>
      </c>
      <c r="G90" s="21" t="n">
        <f aca="false">E90*F90</f>
        <v>1940.55</v>
      </c>
      <c r="H90" s="85" t="s">
        <v>100</v>
      </c>
      <c r="I90" s="85" t="s">
        <v>89</v>
      </c>
      <c r="J90" s="85" t="s">
        <v>541</v>
      </c>
      <c r="K90" s="86" t="n">
        <f aca="false">$K$87</f>
        <v>4.05</v>
      </c>
      <c r="L90" s="86" t="n">
        <f aca="false">E90*K90</f>
        <v>0.034425</v>
      </c>
    </row>
    <row r="91" customFormat="false" ht="15" hidden="false" customHeight="true" outlineLevel="0" collapsed="false">
      <c r="A91" s="87"/>
      <c r="B91" s="88" t="s">
        <v>542</v>
      </c>
      <c r="C91" s="87"/>
      <c r="D91" s="87"/>
      <c r="E91" s="87"/>
      <c r="F91" s="87"/>
      <c r="G91" s="89" t="n">
        <f aca="false">SUM(G89:G90)</f>
        <v>35218.05</v>
      </c>
      <c r="H91" s="24"/>
      <c r="I91" s="24"/>
      <c r="J91" s="24"/>
      <c r="K91" s="24"/>
      <c r="L91" s="24"/>
    </row>
    <row r="92" customFormat="false" ht="15" hidden="false" customHeight="true" outlineLevel="0" collapsed="false">
      <c r="A92" s="83" t="s">
        <v>543</v>
      </c>
      <c r="B92" s="25" t="s">
        <v>544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</row>
    <row r="93" customFormat="false" ht="15" hidden="false" customHeight="true" outlineLevel="0" collapsed="false">
      <c r="A93" s="24"/>
      <c r="B93" s="20" t="s">
        <v>315</v>
      </c>
      <c r="C93" s="37" t="s">
        <v>314</v>
      </c>
      <c r="D93" s="37" t="s">
        <v>93</v>
      </c>
      <c r="E93" s="84" t="n">
        <v>1.2</v>
      </c>
      <c r="F93" s="21" t="n">
        <f aca="false">VLOOKUP(C93,'Perhitungan Bahan'!$A$5:$J$61,10,FALSE())</f>
        <v>209000</v>
      </c>
      <c r="G93" s="21" t="n">
        <f aca="false">E93*F93</f>
        <v>250800</v>
      </c>
      <c r="H93" s="85" t="s">
        <v>100</v>
      </c>
      <c r="I93" s="85" t="s">
        <v>89</v>
      </c>
      <c r="J93" s="85" t="s">
        <v>282</v>
      </c>
      <c r="K93" s="86" t="n">
        <f aca="false">$K$87</f>
        <v>4.05</v>
      </c>
      <c r="L93" s="86" t="n">
        <f aca="false">E93*K93</f>
        <v>4.86</v>
      </c>
    </row>
    <row r="94" customFormat="false" ht="15" hidden="false" customHeight="true" outlineLevel="0" collapsed="false">
      <c r="A94" s="87"/>
      <c r="B94" s="88" t="s">
        <v>71</v>
      </c>
      <c r="C94" s="87"/>
      <c r="D94" s="87"/>
      <c r="E94" s="87"/>
      <c r="F94" s="87"/>
      <c r="G94" s="89" t="n">
        <f aca="false">SUM(G93:G93)</f>
        <v>250800</v>
      </c>
      <c r="H94" s="24"/>
      <c r="I94" s="24"/>
      <c r="J94" s="24"/>
      <c r="K94" s="24"/>
      <c r="L94" s="24"/>
    </row>
    <row r="95" customFormat="false" ht="15" hidden="false" customHeight="true" outlineLevel="0" collapsed="false">
      <c r="A95" s="90" t="s">
        <v>545</v>
      </c>
      <c r="B95" s="91" t="s">
        <v>546</v>
      </c>
      <c r="C95" s="92"/>
      <c r="D95" s="92"/>
      <c r="E95" s="92"/>
      <c r="F95" s="92"/>
      <c r="G95" s="93" t="n">
        <f aca="false">G91+G94</f>
        <v>286018.05</v>
      </c>
      <c r="H95" s="24"/>
      <c r="I95" s="24"/>
      <c r="J95" s="24"/>
      <c r="K95" s="24"/>
      <c r="L95" s="24"/>
    </row>
    <row r="96" customFormat="false" ht="15" hidden="false" customHeight="true" outlineLevel="0" collapsed="false">
      <c r="A96" s="37" t="s">
        <v>547</v>
      </c>
      <c r="B96" s="20" t="s">
        <v>548</v>
      </c>
      <c r="C96" s="24"/>
      <c r="D96" s="24"/>
      <c r="E96" s="94" t="n">
        <f aca="false">Parameter!$B$4</f>
        <v>0.15</v>
      </c>
      <c r="F96" s="24"/>
      <c r="G96" s="21" t="n">
        <f aca="false">G95*E96</f>
        <v>42902.7075</v>
      </c>
      <c r="H96" s="24"/>
      <c r="I96" s="24"/>
      <c r="J96" s="24"/>
      <c r="K96" s="24"/>
      <c r="L96" s="24"/>
    </row>
    <row r="97" customFormat="false" ht="15" hidden="false" customHeight="true" outlineLevel="0" collapsed="false">
      <c r="A97" s="95" t="s">
        <v>549</v>
      </c>
      <c r="B97" s="96" t="s">
        <v>550</v>
      </c>
      <c r="C97" s="97"/>
      <c r="D97" s="97"/>
      <c r="E97" s="97"/>
      <c r="F97" s="97"/>
      <c r="G97" s="98" t="n">
        <f aca="false">G95+G96</f>
        <v>328920.7575</v>
      </c>
      <c r="H97" s="24"/>
      <c r="I97" s="24"/>
      <c r="J97" s="24"/>
      <c r="K97" s="24"/>
      <c r="L97" s="24"/>
    </row>
    <row r="99" customFormat="false" ht="23.25" hidden="false" customHeight="true" outlineLevel="0" collapsed="false">
      <c r="A99" s="35" t="s">
        <v>102</v>
      </c>
      <c r="B99" s="35" t="s">
        <v>558</v>
      </c>
      <c r="C99" s="35"/>
      <c r="D99" s="35"/>
      <c r="E99" s="35"/>
      <c r="F99" s="35"/>
      <c r="G99" s="35"/>
      <c r="H99" s="35"/>
      <c r="I99" s="35"/>
      <c r="J99" s="81" t="s">
        <v>537</v>
      </c>
      <c r="K99" s="82" t="n">
        <f aca="false">Volume!$B$36</f>
        <v>2.025</v>
      </c>
      <c r="L99" s="35"/>
    </row>
    <row r="100" customFormat="false" ht="15" hidden="false" customHeight="true" outlineLevel="0" collapsed="false">
      <c r="A100" s="83" t="s">
        <v>538</v>
      </c>
      <c r="B100" s="25" t="s">
        <v>539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</row>
    <row r="101" customFormat="false" ht="15" hidden="false" customHeight="true" outlineLevel="0" collapsed="false">
      <c r="A101" s="24"/>
      <c r="B101" s="20" t="s">
        <v>487</v>
      </c>
      <c r="C101" s="37" t="s">
        <v>488</v>
      </c>
      <c r="D101" s="37" t="s">
        <v>540</v>
      </c>
      <c r="E101" s="84" t="n">
        <v>0.7425</v>
      </c>
      <c r="F101" s="21" t="n">
        <f aca="false">INDEX('Perhitungan Upah'!$C$5:$C$13,MATCH(C101,'Perhitungan Upah'!$B$5:$B$13,0))</f>
        <v>130500</v>
      </c>
      <c r="G101" s="21" t="n">
        <f aca="false">E101*F101</f>
        <v>96896.25</v>
      </c>
      <c r="H101" s="85" t="s">
        <v>102</v>
      </c>
      <c r="I101" s="85" t="s">
        <v>89</v>
      </c>
      <c r="J101" s="85" t="s">
        <v>541</v>
      </c>
      <c r="K101" s="86" t="n">
        <f aca="false">$K$99</f>
        <v>2.025</v>
      </c>
      <c r="L101" s="86" t="n">
        <f aca="false">E101*K101</f>
        <v>1.5035625</v>
      </c>
    </row>
    <row r="102" customFormat="false" ht="15" hidden="false" customHeight="true" outlineLevel="0" collapsed="false">
      <c r="A102" s="24"/>
      <c r="B102" s="20" t="s">
        <v>490</v>
      </c>
      <c r="C102" s="37" t="s">
        <v>491</v>
      </c>
      <c r="D102" s="37" t="s">
        <v>540</v>
      </c>
      <c r="E102" s="84" t="n">
        <v>0.1238</v>
      </c>
      <c r="F102" s="21" t="n">
        <f aca="false">INDEX('Perhitungan Upah'!$C$5:$C$13,MATCH(C102,'Perhitungan Upah'!$B$5:$B$13,0))</f>
        <v>175300</v>
      </c>
      <c r="G102" s="21" t="n">
        <f aca="false">E102*F102</f>
        <v>21702.14</v>
      </c>
      <c r="H102" s="85" t="s">
        <v>102</v>
      </c>
      <c r="I102" s="85" t="s">
        <v>89</v>
      </c>
      <c r="J102" s="85" t="s">
        <v>541</v>
      </c>
      <c r="K102" s="86" t="n">
        <f aca="false">$K$99</f>
        <v>2.025</v>
      </c>
      <c r="L102" s="86" t="n">
        <f aca="false">E102*K102</f>
        <v>0.250695</v>
      </c>
    </row>
    <row r="103" customFormat="false" ht="15" hidden="false" customHeight="true" outlineLevel="0" collapsed="false">
      <c r="A103" s="24"/>
      <c r="B103" s="20" t="s">
        <v>502</v>
      </c>
      <c r="C103" s="37" t="s">
        <v>503</v>
      </c>
      <c r="D103" s="37" t="s">
        <v>540</v>
      </c>
      <c r="E103" s="84" t="n">
        <v>0.0126</v>
      </c>
      <c r="F103" s="21" t="n">
        <f aca="false">INDEX('Perhitungan Upah'!$C$5:$C$13,MATCH(C103,'Perhitungan Upah'!$B$5:$B$13,0))</f>
        <v>198900</v>
      </c>
      <c r="G103" s="21" t="n">
        <f aca="false">E103*F103</f>
        <v>2506.14</v>
      </c>
      <c r="H103" s="85" t="s">
        <v>102</v>
      </c>
      <c r="I103" s="85" t="s">
        <v>89</v>
      </c>
      <c r="J103" s="85" t="s">
        <v>541</v>
      </c>
      <c r="K103" s="86" t="n">
        <f aca="false">$K$99</f>
        <v>2.025</v>
      </c>
      <c r="L103" s="86" t="n">
        <f aca="false">E103*K103</f>
        <v>0.025515</v>
      </c>
    </row>
    <row r="104" customFormat="false" ht="15" hidden="false" customHeight="true" outlineLevel="0" collapsed="false">
      <c r="A104" s="24"/>
      <c r="B104" s="20" t="s">
        <v>504</v>
      </c>
      <c r="C104" s="37" t="s">
        <v>505</v>
      </c>
      <c r="D104" s="37" t="s">
        <v>540</v>
      </c>
      <c r="E104" s="84" t="n">
        <v>0.0374</v>
      </c>
      <c r="F104" s="21" t="n">
        <f aca="false">INDEX('Perhitungan Upah'!$C$5:$C$13,MATCH(C104,'Perhitungan Upah'!$B$5:$B$13,0))</f>
        <v>228300</v>
      </c>
      <c r="G104" s="21" t="n">
        <f aca="false">E104*F104</f>
        <v>8538.42</v>
      </c>
      <c r="H104" s="85" t="s">
        <v>102</v>
      </c>
      <c r="I104" s="85" t="s">
        <v>89</v>
      </c>
      <c r="J104" s="85" t="s">
        <v>541</v>
      </c>
      <c r="K104" s="86" t="n">
        <f aca="false">$K$99</f>
        <v>2.025</v>
      </c>
      <c r="L104" s="86" t="n">
        <f aca="false">E104*K104</f>
        <v>0.075735</v>
      </c>
    </row>
    <row r="105" customFormat="false" ht="15" hidden="false" customHeight="true" outlineLevel="0" collapsed="false">
      <c r="A105" s="87"/>
      <c r="B105" s="88" t="s">
        <v>542</v>
      </c>
      <c r="C105" s="87"/>
      <c r="D105" s="87"/>
      <c r="E105" s="87"/>
      <c r="F105" s="87"/>
      <c r="G105" s="89" t="n">
        <f aca="false">SUM(G101:G104)</f>
        <v>129642.95</v>
      </c>
      <c r="H105" s="24"/>
      <c r="I105" s="24"/>
      <c r="J105" s="24"/>
      <c r="K105" s="24"/>
      <c r="L105" s="24"/>
    </row>
    <row r="106" customFormat="false" ht="15" hidden="false" customHeight="true" outlineLevel="0" collapsed="false">
      <c r="A106" s="83" t="s">
        <v>543</v>
      </c>
      <c r="B106" s="25" t="s">
        <v>544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</row>
    <row r="107" customFormat="false" ht="15" hidden="false" customHeight="true" outlineLevel="0" collapsed="false">
      <c r="A107" s="24"/>
      <c r="B107" s="20" t="s">
        <v>297</v>
      </c>
      <c r="C107" s="37" t="s">
        <v>296</v>
      </c>
      <c r="D107" s="37" t="s">
        <v>299</v>
      </c>
      <c r="E107" s="84" t="n">
        <v>342.3</v>
      </c>
      <c r="F107" s="21" t="n">
        <f aca="false">VLOOKUP(C107,'Perhitungan Bahan'!$A$5:$J$61,10,FALSE())</f>
        <v>1575</v>
      </c>
      <c r="G107" s="21" t="n">
        <f aca="false">E107*F107</f>
        <v>539122.5</v>
      </c>
      <c r="H107" s="85" t="s">
        <v>102</v>
      </c>
      <c r="I107" s="85" t="s">
        <v>89</v>
      </c>
      <c r="J107" s="85" t="s">
        <v>282</v>
      </c>
      <c r="K107" s="86" t="n">
        <f aca="false">$K$99</f>
        <v>2.025</v>
      </c>
      <c r="L107" s="86" t="n">
        <f aca="false">E107*K107</f>
        <v>693.1575</v>
      </c>
    </row>
    <row r="108" customFormat="false" ht="15" hidden="false" customHeight="true" outlineLevel="0" collapsed="false">
      <c r="A108" s="24"/>
      <c r="B108" s="20" t="s">
        <v>309</v>
      </c>
      <c r="C108" s="37" t="s">
        <v>308</v>
      </c>
      <c r="D108" s="37" t="s">
        <v>93</v>
      </c>
      <c r="E108" s="84" t="n">
        <v>0.5973</v>
      </c>
      <c r="F108" s="21" t="n">
        <f aca="false">VLOOKUP(C108,'Perhitungan Bahan'!$A$5:$J$61,10,FALSE())</f>
        <v>379000</v>
      </c>
      <c r="G108" s="21" t="n">
        <f aca="false">E108*F108</f>
        <v>226376.7</v>
      </c>
      <c r="H108" s="85" t="s">
        <v>102</v>
      </c>
      <c r="I108" s="85" t="s">
        <v>89</v>
      </c>
      <c r="J108" s="85" t="s">
        <v>282</v>
      </c>
      <c r="K108" s="86" t="n">
        <f aca="false">$K$99</f>
        <v>2.025</v>
      </c>
      <c r="L108" s="86" t="n">
        <f aca="false">E108*K108</f>
        <v>1.2095325</v>
      </c>
    </row>
    <row r="109" customFormat="false" ht="15" hidden="false" customHeight="true" outlineLevel="0" collapsed="false">
      <c r="A109" s="24"/>
      <c r="B109" s="20" t="s">
        <v>312</v>
      </c>
      <c r="C109" s="37" t="s">
        <v>311</v>
      </c>
      <c r="D109" s="37" t="s">
        <v>93</v>
      </c>
      <c r="E109" s="84" t="n">
        <v>0.8404</v>
      </c>
      <c r="F109" s="21" t="n">
        <f aca="false">VLOOKUP(C109,'Perhitungan Bahan'!$A$5:$J$61,10,FALSE())</f>
        <v>385900</v>
      </c>
      <c r="G109" s="21" t="n">
        <f aca="false">E109*F109</f>
        <v>324310.36</v>
      </c>
      <c r="H109" s="85" t="s">
        <v>102</v>
      </c>
      <c r="I109" s="85" t="s">
        <v>89</v>
      </c>
      <c r="J109" s="85" t="s">
        <v>282</v>
      </c>
      <c r="K109" s="86" t="n">
        <f aca="false">$K$99</f>
        <v>2.025</v>
      </c>
      <c r="L109" s="86" t="n">
        <f aca="false">E109*K109</f>
        <v>1.70181</v>
      </c>
    </row>
    <row r="110" customFormat="false" ht="15" hidden="false" customHeight="true" outlineLevel="0" collapsed="false">
      <c r="A110" s="87"/>
      <c r="B110" s="88" t="s">
        <v>71</v>
      </c>
      <c r="C110" s="87"/>
      <c r="D110" s="87"/>
      <c r="E110" s="87"/>
      <c r="F110" s="87"/>
      <c r="G110" s="89" t="n">
        <f aca="false">SUM(G107:G109)</f>
        <v>1089809.56</v>
      </c>
      <c r="H110" s="24"/>
      <c r="I110" s="24"/>
      <c r="J110" s="24"/>
      <c r="K110" s="24"/>
      <c r="L110" s="24"/>
    </row>
    <row r="111" customFormat="false" ht="15" hidden="false" customHeight="true" outlineLevel="0" collapsed="false">
      <c r="A111" s="90" t="s">
        <v>545</v>
      </c>
      <c r="B111" s="91" t="s">
        <v>546</v>
      </c>
      <c r="C111" s="92"/>
      <c r="D111" s="92"/>
      <c r="E111" s="92"/>
      <c r="F111" s="92"/>
      <c r="G111" s="93" t="n">
        <f aca="false">G105+G110</f>
        <v>1219452.51</v>
      </c>
      <c r="H111" s="24"/>
      <c r="I111" s="24"/>
      <c r="J111" s="24"/>
      <c r="K111" s="24"/>
      <c r="L111" s="24"/>
    </row>
    <row r="112" customFormat="false" ht="15" hidden="false" customHeight="true" outlineLevel="0" collapsed="false">
      <c r="A112" s="37" t="s">
        <v>547</v>
      </c>
      <c r="B112" s="20" t="s">
        <v>548</v>
      </c>
      <c r="C112" s="24"/>
      <c r="D112" s="24"/>
      <c r="E112" s="94" t="n">
        <f aca="false">Parameter!$B$4</f>
        <v>0.15</v>
      </c>
      <c r="F112" s="24"/>
      <c r="G112" s="21" t="n">
        <f aca="false">G111*E112</f>
        <v>182917.8765</v>
      </c>
      <c r="H112" s="24"/>
      <c r="I112" s="24"/>
      <c r="J112" s="24"/>
      <c r="K112" s="24"/>
      <c r="L112" s="24"/>
    </row>
    <row r="113" customFormat="false" ht="15" hidden="false" customHeight="true" outlineLevel="0" collapsed="false">
      <c r="A113" s="95" t="s">
        <v>549</v>
      </c>
      <c r="B113" s="96" t="s">
        <v>550</v>
      </c>
      <c r="C113" s="97"/>
      <c r="D113" s="97"/>
      <c r="E113" s="97"/>
      <c r="F113" s="97"/>
      <c r="G113" s="98" t="n">
        <f aca="false">G111+G112</f>
        <v>1402370.3865</v>
      </c>
      <c r="H113" s="24"/>
      <c r="I113" s="24"/>
      <c r="J113" s="24"/>
      <c r="K113" s="24"/>
      <c r="L113" s="24"/>
    </row>
    <row r="115" customFormat="false" ht="23.25" hidden="false" customHeight="true" outlineLevel="0" collapsed="false">
      <c r="A115" s="35" t="s">
        <v>106</v>
      </c>
      <c r="B115" s="35" t="s">
        <v>559</v>
      </c>
      <c r="C115" s="35"/>
      <c r="D115" s="35"/>
      <c r="E115" s="35"/>
      <c r="F115" s="35"/>
      <c r="G115" s="35"/>
      <c r="H115" s="35"/>
      <c r="I115" s="35"/>
      <c r="J115" s="81" t="s">
        <v>537</v>
      </c>
      <c r="K115" s="82" t="n">
        <f aca="false">Volume!$B$37</f>
        <v>1.035</v>
      </c>
      <c r="L115" s="35"/>
    </row>
    <row r="116" customFormat="false" ht="15" hidden="false" customHeight="true" outlineLevel="0" collapsed="false">
      <c r="A116" s="83" t="s">
        <v>538</v>
      </c>
      <c r="B116" s="25" t="s">
        <v>539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</row>
    <row r="117" customFormat="false" ht="15" hidden="false" customHeight="true" outlineLevel="0" collapsed="false">
      <c r="A117" s="24"/>
      <c r="B117" s="20" t="s">
        <v>487</v>
      </c>
      <c r="C117" s="37" t="s">
        <v>488</v>
      </c>
      <c r="D117" s="37" t="s">
        <v>540</v>
      </c>
      <c r="E117" s="84" t="n">
        <v>5.4829</v>
      </c>
      <c r="F117" s="21" t="n">
        <f aca="false">INDEX('Perhitungan Upah'!$C$5:$C$13,MATCH(C117,'Perhitungan Upah'!$B$5:$B$13,0))</f>
        <v>130500</v>
      </c>
      <c r="G117" s="21" t="n">
        <f aca="false">E117*F117</f>
        <v>715518.45</v>
      </c>
      <c r="H117" s="85" t="s">
        <v>106</v>
      </c>
      <c r="I117" s="85" t="s">
        <v>104</v>
      </c>
      <c r="J117" s="85" t="s">
        <v>541</v>
      </c>
      <c r="K117" s="86" t="n">
        <f aca="false">$K$115</f>
        <v>1.035</v>
      </c>
      <c r="L117" s="86" t="n">
        <f aca="false">E117*K117</f>
        <v>5.6748015</v>
      </c>
    </row>
    <row r="118" customFormat="false" ht="15" hidden="false" customHeight="true" outlineLevel="0" collapsed="false">
      <c r="A118" s="24"/>
      <c r="B118" s="20" t="s">
        <v>490</v>
      </c>
      <c r="C118" s="37" t="s">
        <v>491</v>
      </c>
      <c r="D118" s="37" t="s">
        <v>540</v>
      </c>
      <c r="E118" s="84" t="n">
        <v>0.1238</v>
      </c>
      <c r="F118" s="21" t="n">
        <f aca="false">INDEX('Perhitungan Upah'!$C$5:$C$13,MATCH(C118,'Perhitungan Upah'!$B$5:$B$13,0))</f>
        <v>175300</v>
      </c>
      <c r="G118" s="21" t="n">
        <f aca="false">E118*F118</f>
        <v>21702.14</v>
      </c>
      <c r="H118" s="85" t="s">
        <v>106</v>
      </c>
      <c r="I118" s="85" t="s">
        <v>104</v>
      </c>
      <c r="J118" s="85" t="s">
        <v>541</v>
      </c>
      <c r="K118" s="86" t="n">
        <f aca="false">$K$115</f>
        <v>1.035</v>
      </c>
      <c r="L118" s="86" t="n">
        <f aca="false">E118*K118</f>
        <v>0.128133</v>
      </c>
    </row>
    <row r="119" customFormat="false" ht="15" hidden="false" customHeight="true" outlineLevel="0" collapsed="false">
      <c r="A119" s="24"/>
      <c r="B119" s="20" t="s">
        <v>502</v>
      </c>
      <c r="C119" s="37" t="s">
        <v>503</v>
      </c>
      <c r="D119" s="37" t="s">
        <v>540</v>
      </c>
      <c r="E119" s="84" t="n">
        <v>0.2891</v>
      </c>
      <c r="F119" s="21" t="n">
        <f aca="false">INDEX('Perhitungan Upah'!$C$5:$C$13,MATCH(C119,'Perhitungan Upah'!$B$5:$B$13,0))</f>
        <v>198900</v>
      </c>
      <c r="G119" s="21" t="n">
        <f aca="false">E119*F119</f>
        <v>57501.99</v>
      </c>
      <c r="H119" s="85" t="s">
        <v>106</v>
      </c>
      <c r="I119" s="85" t="s">
        <v>104</v>
      </c>
      <c r="J119" s="85" t="s">
        <v>541</v>
      </c>
      <c r="K119" s="86" t="n">
        <f aca="false">$K$115</f>
        <v>1.035</v>
      </c>
      <c r="L119" s="86" t="n">
        <f aca="false">E119*K119</f>
        <v>0.2992185</v>
      </c>
    </row>
    <row r="120" customFormat="false" ht="15" hidden="false" customHeight="true" outlineLevel="0" collapsed="false">
      <c r="A120" s="24"/>
      <c r="B120" s="20" t="s">
        <v>504</v>
      </c>
      <c r="C120" s="37" t="s">
        <v>505</v>
      </c>
      <c r="D120" s="37" t="s">
        <v>540</v>
      </c>
      <c r="E120" s="84" t="n">
        <v>0.28</v>
      </c>
      <c r="F120" s="21" t="n">
        <f aca="false">INDEX('Perhitungan Upah'!$C$5:$C$13,MATCH(C120,'Perhitungan Upah'!$B$5:$B$13,0))</f>
        <v>228300</v>
      </c>
      <c r="G120" s="21" t="n">
        <f aca="false">E120*F120</f>
        <v>63924</v>
      </c>
      <c r="H120" s="85" t="s">
        <v>106</v>
      </c>
      <c r="I120" s="85" t="s">
        <v>104</v>
      </c>
      <c r="J120" s="85" t="s">
        <v>541</v>
      </c>
      <c r="K120" s="86" t="n">
        <f aca="false">$K$115</f>
        <v>1.035</v>
      </c>
      <c r="L120" s="86" t="n">
        <f aca="false">E120*K120</f>
        <v>0.2898</v>
      </c>
    </row>
    <row r="121" customFormat="false" ht="15" hidden="false" customHeight="true" outlineLevel="0" collapsed="false">
      <c r="A121" s="24"/>
      <c r="B121" s="20" t="s">
        <v>494</v>
      </c>
      <c r="C121" s="37" t="s">
        <v>495</v>
      </c>
      <c r="D121" s="37" t="s">
        <v>540</v>
      </c>
      <c r="E121" s="84" t="n">
        <v>0.7903</v>
      </c>
      <c r="F121" s="21" t="n">
        <f aca="false">INDEX('Perhitungan Upah'!$C$5:$C$13,MATCH(C121,'Perhitungan Upah'!$B$5:$B$13,0))</f>
        <v>174700</v>
      </c>
      <c r="G121" s="21" t="n">
        <f aca="false">E121*F121</f>
        <v>138065.41</v>
      </c>
      <c r="H121" s="85" t="s">
        <v>106</v>
      </c>
      <c r="I121" s="85" t="s">
        <v>104</v>
      </c>
      <c r="J121" s="85" t="s">
        <v>541</v>
      </c>
      <c r="K121" s="86" t="n">
        <f aca="false">$K$115</f>
        <v>1.035</v>
      </c>
      <c r="L121" s="86" t="n">
        <f aca="false">E121*K121</f>
        <v>0.8179605</v>
      </c>
    </row>
    <row r="122" customFormat="false" ht="15" hidden="false" customHeight="true" outlineLevel="0" collapsed="false">
      <c r="A122" s="24"/>
      <c r="B122" s="20" t="s">
        <v>492</v>
      </c>
      <c r="C122" s="37" t="s">
        <v>493</v>
      </c>
      <c r="D122" s="37" t="s">
        <v>540</v>
      </c>
      <c r="E122" s="84" t="n">
        <v>1.9751</v>
      </c>
      <c r="F122" s="21" t="n">
        <f aca="false">INDEX('Perhitungan Upah'!$C$5:$C$13,MATCH(C122,'Perhitungan Upah'!$B$5:$B$13,0))</f>
        <v>174700</v>
      </c>
      <c r="G122" s="21" t="n">
        <f aca="false">E122*F122</f>
        <v>345049.97</v>
      </c>
      <c r="H122" s="85" t="s">
        <v>106</v>
      </c>
      <c r="I122" s="85" t="s">
        <v>104</v>
      </c>
      <c r="J122" s="85" t="s">
        <v>541</v>
      </c>
      <c r="K122" s="86" t="n">
        <f aca="false">$K$115</f>
        <v>1.035</v>
      </c>
      <c r="L122" s="86" t="n">
        <f aca="false">E122*K122</f>
        <v>2.0442285</v>
      </c>
    </row>
    <row r="123" customFormat="false" ht="15" hidden="false" customHeight="true" outlineLevel="0" collapsed="false">
      <c r="A123" s="87"/>
      <c r="B123" s="88" t="s">
        <v>542</v>
      </c>
      <c r="C123" s="87"/>
      <c r="D123" s="87"/>
      <c r="E123" s="87"/>
      <c r="F123" s="87"/>
      <c r="G123" s="89" t="n">
        <f aca="false">SUM(G117:G122)</f>
        <v>1341761.96</v>
      </c>
      <c r="H123" s="24"/>
      <c r="I123" s="24"/>
      <c r="J123" s="24"/>
      <c r="K123" s="24"/>
      <c r="L123" s="24"/>
    </row>
    <row r="124" customFormat="false" ht="15" hidden="false" customHeight="true" outlineLevel="0" collapsed="false">
      <c r="A124" s="83" t="s">
        <v>543</v>
      </c>
      <c r="B124" s="25" t="s">
        <v>544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</row>
    <row r="125" customFormat="false" ht="15" hidden="false" customHeight="true" outlineLevel="0" collapsed="false">
      <c r="A125" s="24"/>
      <c r="B125" s="20" t="s">
        <v>297</v>
      </c>
      <c r="C125" s="37" t="s">
        <v>296</v>
      </c>
      <c r="D125" s="37" t="s">
        <v>299</v>
      </c>
      <c r="E125" s="84" t="n">
        <v>342.3</v>
      </c>
      <c r="F125" s="21" t="n">
        <f aca="false">VLOOKUP(C125,'Perhitungan Bahan'!$A$5:$J$61,10,FALSE())</f>
        <v>1575</v>
      </c>
      <c r="G125" s="21" t="n">
        <f aca="false">E125*F125</f>
        <v>539122.5</v>
      </c>
      <c r="H125" s="85" t="s">
        <v>106</v>
      </c>
      <c r="I125" s="85" t="s">
        <v>104</v>
      </c>
      <c r="J125" s="85" t="s">
        <v>282</v>
      </c>
      <c r="K125" s="86" t="n">
        <f aca="false">$K$115</f>
        <v>1.035</v>
      </c>
      <c r="L125" s="86" t="n">
        <f aca="false">E125*K125</f>
        <v>354.2805</v>
      </c>
    </row>
    <row r="126" customFormat="false" ht="15" hidden="false" customHeight="true" outlineLevel="0" collapsed="false">
      <c r="A126" s="24"/>
      <c r="B126" s="20" t="s">
        <v>309</v>
      </c>
      <c r="C126" s="37" t="s">
        <v>308</v>
      </c>
      <c r="D126" s="37" t="s">
        <v>93</v>
      </c>
      <c r="E126" s="84" t="n">
        <v>0.5973</v>
      </c>
      <c r="F126" s="21" t="n">
        <f aca="false">VLOOKUP(C126,'Perhitungan Bahan'!$A$5:$J$61,10,FALSE())</f>
        <v>379000</v>
      </c>
      <c r="G126" s="21" t="n">
        <f aca="false">E126*F126</f>
        <v>226376.7</v>
      </c>
      <c r="H126" s="85" t="s">
        <v>106</v>
      </c>
      <c r="I126" s="85" t="s">
        <v>104</v>
      </c>
      <c r="J126" s="85" t="s">
        <v>282</v>
      </c>
      <c r="K126" s="86" t="n">
        <f aca="false">$K$115</f>
        <v>1.035</v>
      </c>
      <c r="L126" s="86" t="n">
        <f aca="false">E126*K126</f>
        <v>0.6182055</v>
      </c>
    </row>
    <row r="127" customFormat="false" ht="15" hidden="false" customHeight="true" outlineLevel="0" collapsed="false">
      <c r="A127" s="24"/>
      <c r="B127" s="20" t="s">
        <v>312</v>
      </c>
      <c r="C127" s="37" t="s">
        <v>311</v>
      </c>
      <c r="D127" s="37" t="s">
        <v>93</v>
      </c>
      <c r="E127" s="84" t="n">
        <v>0.8404</v>
      </c>
      <c r="F127" s="21" t="n">
        <f aca="false">VLOOKUP(C127,'Perhitungan Bahan'!$A$5:$J$61,10,FALSE())</f>
        <v>385900</v>
      </c>
      <c r="G127" s="21" t="n">
        <f aca="false">E127*F127</f>
        <v>324310.36</v>
      </c>
      <c r="H127" s="85" t="s">
        <v>106</v>
      </c>
      <c r="I127" s="85" t="s">
        <v>104</v>
      </c>
      <c r="J127" s="85" t="s">
        <v>282</v>
      </c>
      <c r="K127" s="86" t="n">
        <f aca="false">$K$115</f>
        <v>1.035</v>
      </c>
      <c r="L127" s="86" t="n">
        <f aca="false">E127*K127</f>
        <v>0.869814</v>
      </c>
    </row>
    <row r="128" customFormat="false" ht="15" hidden="false" customHeight="true" outlineLevel="0" collapsed="false">
      <c r="A128" s="24"/>
      <c r="B128" s="20" t="s">
        <v>320</v>
      </c>
      <c r="C128" s="37" t="s">
        <v>319</v>
      </c>
      <c r="D128" s="37" t="s">
        <v>299</v>
      </c>
      <c r="E128" s="84" t="n">
        <v>90.53</v>
      </c>
      <c r="F128" s="21" t="n">
        <f aca="false">VLOOKUP(C128,'Perhitungan Bahan'!$A$5:$J$61,10,FALSE())</f>
        <v>11554.0540540541</v>
      </c>
      <c r="G128" s="21" t="n">
        <f aca="false">E128*F128</f>
        <v>1045988.51351351</v>
      </c>
      <c r="H128" s="85" t="s">
        <v>106</v>
      </c>
      <c r="I128" s="85" t="s">
        <v>104</v>
      </c>
      <c r="J128" s="85" t="s">
        <v>282</v>
      </c>
      <c r="K128" s="86" t="n">
        <f aca="false">$K$115</f>
        <v>1.035</v>
      </c>
      <c r="L128" s="86" t="n">
        <f aca="false">E128*K128</f>
        <v>93.69855</v>
      </c>
    </row>
    <row r="129" customFormat="false" ht="15" hidden="false" customHeight="true" outlineLevel="0" collapsed="false">
      <c r="A129" s="24"/>
      <c r="B129" s="20" t="s">
        <v>328</v>
      </c>
      <c r="C129" s="37" t="s">
        <v>327</v>
      </c>
      <c r="D129" s="37" t="s">
        <v>299</v>
      </c>
      <c r="E129" s="84" t="n">
        <v>33.66</v>
      </c>
      <c r="F129" s="21" t="n">
        <f aca="false">VLOOKUP(C129,'Perhitungan Bahan'!$A$5:$J$61,10,FALSE())</f>
        <v>11315.7894736842</v>
      </c>
      <c r="G129" s="21" t="n">
        <f aca="false">E129*F129</f>
        <v>380889.47368421</v>
      </c>
      <c r="H129" s="85" t="s">
        <v>106</v>
      </c>
      <c r="I129" s="85" t="s">
        <v>104</v>
      </c>
      <c r="J129" s="85" t="s">
        <v>282</v>
      </c>
      <c r="K129" s="86" t="n">
        <f aca="false">$K$115</f>
        <v>1.035</v>
      </c>
      <c r="L129" s="86" t="n">
        <f aca="false">E129*K129</f>
        <v>34.8381</v>
      </c>
    </row>
    <row r="130" customFormat="false" ht="15" hidden="false" customHeight="true" outlineLevel="0" collapsed="false">
      <c r="A130" s="24"/>
      <c r="B130" s="20" t="s">
        <v>332</v>
      </c>
      <c r="C130" s="37" t="s">
        <v>331</v>
      </c>
      <c r="D130" s="37" t="s">
        <v>299</v>
      </c>
      <c r="E130" s="84" t="n">
        <v>1.6935</v>
      </c>
      <c r="F130" s="21" t="n">
        <f aca="false">VLOOKUP(C130,'Perhitungan Bahan'!$A$5:$J$61,10,FALSE())</f>
        <v>26200</v>
      </c>
      <c r="G130" s="21" t="n">
        <f aca="false">E130*F130</f>
        <v>44369.7</v>
      </c>
      <c r="H130" s="85" t="s">
        <v>106</v>
      </c>
      <c r="I130" s="85" t="s">
        <v>104</v>
      </c>
      <c r="J130" s="85" t="s">
        <v>282</v>
      </c>
      <c r="K130" s="86" t="n">
        <f aca="false">$K$115</f>
        <v>1.035</v>
      </c>
      <c r="L130" s="86" t="n">
        <f aca="false">E130*K130</f>
        <v>1.7527725</v>
      </c>
    </row>
    <row r="131" customFormat="false" ht="15" hidden="false" customHeight="true" outlineLevel="0" collapsed="false">
      <c r="A131" s="24"/>
      <c r="B131" s="20" t="s">
        <v>334</v>
      </c>
      <c r="C131" s="37" t="s">
        <v>333</v>
      </c>
      <c r="D131" s="37" t="s">
        <v>336</v>
      </c>
      <c r="E131" s="84" t="n">
        <v>1.16375</v>
      </c>
      <c r="F131" s="21" t="n">
        <f aca="false">VLOOKUP(C131,'Perhitungan Bahan'!$A$5:$J$61,10,FALSE())</f>
        <v>214200</v>
      </c>
      <c r="G131" s="21" t="n">
        <f aca="false">E131*F131</f>
        <v>249275.25</v>
      </c>
      <c r="H131" s="85" t="s">
        <v>106</v>
      </c>
      <c r="I131" s="85" t="s">
        <v>104</v>
      </c>
      <c r="J131" s="85" t="s">
        <v>282</v>
      </c>
      <c r="K131" s="86" t="n">
        <f aca="false">$K$115</f>
        <v>1.035</v>
      </c>
      <c r="L131" s="86" t="n">
        <f aca="false">E131*K131</f>
        <v>1.20448125</v>
      </c>
    </row>
    <row r="132" customFormat="false" ht="15" hidden="false" customHeight="true" outlineLevel="0" collapsed="false">
      <c r="A132" s="24"/>
      <c r="B132" s="20" t="s">
        <v>338</v>
      </c>
      <c r="C132" s="37" t="s">
        <v>337</v>
      </c>
      <c r="D132" s="37" t="s">
        <v>322</v>
      </c>
      <c r="E132" s="84" t="n">
        <v>13.0625</v>
      </c>
      <c r="F132" s="21" t="n">
        <f aca="false">VLOOKUP(C132,'Perhitungan Bahan'!$A$5:$J$61,10,FALSE())</f>
        <v>38000</v>
      </c>
      <c r="G132" s="21" t="n">
        <f aca="false">E132*F132</f>
        <v>496375</v>
      </c>
      <c r="H132" s="85" t="s">
        <v>106</v>
      </c>
      <c r="I132" s="85" t="s">
        <v>104</v>
      </c>
      <c r="J132" s="85" t="s">
        <v>282</v>
      </c>
      <c r="K132" s="86" t="n">
        <f aca="false">$K$115</f>
        <v>1.035</v>
      </c>
      <c r="L132" s="86" t="n">
        <f aca="false">E132*K132</f>
        <v>13.5196875</v>
      </c>
    </row>
    <row r="133" customFormat="false" ht="15" hidden="false" customHeight="true" outlineLevel="0" collapsed="false">
      <c r="A133" s="24"/>
      <c r="B133" s="20" t="s">
        <v>342</v>
      </c>
      <c r="C133" s="37" t="s">
        <v>341</v>
      </c>
      <c r="D133" s="37" t="s">
        <v>299</v>
      </c>
      <c r="E133" s="84" t="n">
        <v>1.33</v>
      </c>
      <c r="F133" s="21" t="n">
        <f aca="false">VLOOKUP(C133,'Perhitungan Bahan'!$A$5:$J$61,10,FALSE())</f>
        <v>24200</v>
      </c>
      <c r="G133" s="21" t="n">
        <f aca="false">E133*F133</f>
        <v>32186</v>
      </c>
      <c r="H133" s="85" t="s">
        <v>106</v>
      </c>
      <c r="I133" s="85" t="s">
        <v>104</v>
      </c>
      <c r="J133" s="85" t="s">
        <v>282</v>
      </c>
      <c r="K133" s="86" t="n">
        <f aca="false">$K$115</f>
        <v>1.035</v>
      </c>
      <c r="L133" s="86" t="n">
        <f aca="false">E133*K133</f>
        <v>1.37655</v>
      </c>
    </row>
    <row r="134" customFormat="false" ht="15" hidden="false" customHeight="true" outlineLevel="0" collapsed="false">
      <c r="A134" s="24"/>
      <c r="B134" s="20" t="s">
        <v>344</v>
      </c>
      <c r="C134" s="37" t="s">
        <v>343</v>
      </c>
      <c r="D134" s="37" t="s">
        <v>345</v>
      </c>
      <c r="E134" s="84" t="n">
        <v>0.665</v>
      </c>
      <c r="F134" s="21" t="n">
        <f aca="false">VLOOKUP(C134,'Perhitungan Bahan'!$A$5:$J$61,10,FALSE())</f>
        <v>26400</v>
      </c>
      <c r="G134" s="21" t="n">
        <f aca="false">E134*F134</f>
        <v>17556</v>
      </c>
      <c r="H134" s="85" t="s">
        <v>106</v>
      </c>
      <c r="I134" s="85" t="s">
        <v>104</v>
      </c>
      <c r="J134" s="85" t="s">
        <v>282</v>
      </c>
      <c r="K134" s="86" t="n">
        <f aca="false">$K$115</f>
        <v>1.035</v>
      </c>
      <c r="L134" s="86" t="n">
        <f aca="false">E134*K134</f>
        <v>0.688275</v>
      </c>
    </row>
    <row r="135" customFormat="false" ht="15" hidden="false" customHeight="true" outlineLevel="0" collapsed="false">
      <c r="A135" s="87"/>
      <c r="B135" s="88" t="s">
        <v>71</v>
      </c>
      <c r="C135" s="87"/>
      <c r="D135" s="87"/>
      <c r="E135" s="87"/>
      <c r="F135" s="87"/>
      <c r="G135" s="89" t="n">
        <f aca="false">SUM(G125:G134)</f>
        <v>3356449.49719772</v>
      </c>
      <c r="H135" s="24"/>
      <c r="I135" s="24"/>
      <c r="J135" s="24"/>
      <c r="K135" s="24"/>
      <c r="L135" s="24"/>
    </row>
    <row r="136" customFormat="false" ht="15" hidden="false" customHeight="true" outlineLevel="0" collapsed="false">
      <c r="A136" s="90" t="s">
        <v>545</v>
      </c>
      <c r="B136" s="91" t="s">
        <v>546</v>
      </c>
      <c r="C136" s="92"/>
      <c r="D136" s="92"/>
      <c r="E136" s="92"/>
      <c r="F136" s="92"/>
      <c r="G136" s="93" t="n">
        <f aca="false">G123+G135</f>
        <v>4698211.45719772</v>
      </c>
      <c r="H136" s="24"/>
      <c r="I136" s="24"/>
      <c r="J136" s="24"/>
      <c r="K136" s="24"/>
      <c r="L136" s="24"/>
    </row>
    <row r="137" customFormat="false" ht="15" hidden="false" customHeight="true" outlineLevel="0" collapsed="false">
      <c r="A137" s="37" t="s">
        <v>547</v>
      </c>
      <c r="B137" s="20" t="s">
        <v>548</v>
      </c>
      <c r="C137" s="24"/>
      <c r="D137" s="24"/>
      <c r="E137" s="94" t="n">
        <f aca="false">Parameter!$B$4</f>
        <v>0.15</v>
      </c>
      <c r="F137" s="24"/>
      <c r="G137" s="21" t="n">
        <f aca="false">G136*E137</f>
        <v>704731.718579659</v>
      </c>
      <c r="H137" s="24"/>
      <c r="I137" s="24"/>
      <c r="J137" s="24"/>
      <c r="K137" s="24"/>
      <c r="L137" s="24"/>
    </row>
    <row r="138" customFormat="false" ht="15" hidden="false" customHeight="true" outlineLevel="0" collapsed="false">
      <c r="A138" s="95" t="s">
        <v>549</v>
      </c>
      <c r="B138" s="96" t="s">
        <v>550</v>
      </c>
      <c r="C138" s="97"/>
      <c r="D138" s="97"/>
      <c r="E138" s="97"/>
      <c r="F138" s="97"/>
      <c r="G138" s="98" t="n">
        <f aca="false">G136+G137</f>
        <v>5402943.17577738</v>
      </c>
      <c r="H138" s="24"/>
      <c r="I138" s="24"/>
      <c r="J138" s="24"/>
      <c r="K138" s="24"/>
      <c r="L138" s="24"/>
    </row>
    <row r="140" customFormat="false" ht="23.25" hidden="false" customHeight="true" outlineLevel="0" collapsed="false">
      <c r="A140" s="35" t="s">
        <v>108</v>
      </c>
      <c r="B140" s="35" t="s">
        <v>560</v>
      </c>
      <c r="C140" s="35"/>
      <c r="D140" s="35"/>
      <c r="E140" s="35"/>
      <c r="F140" s="35"/>
      <c r="G140" s="35"/>
      <c r="H140" s="35"/>
      <c r="I140" s="35"/>
      <c r="J140" s="81" t="s">
        <v>537</v>
      </c>
      <c r="K140" s="82" t="n">
        <f aca="false">Volume!$B$38</f>
        <v>0.864</v>
      </c>
      <c r="L140" s="35"/>
    </row>
    <row r="141" customFormat="false" ht="15" hidden="false" customHeight="true" outlineLevel="0" collapsed="false">
      <c r="A141" s="83" t="s">
        <v>538</v>
      </c>
      <c r="B141" s="25" t="s">
        <v>539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customFormat="false" ht="15" hidden="false" customHeight="true" outlineLevel="0" collapsed="false">
      <c r="A142" s="24"/>
      <c r="B142" s="20" t="s">
        <v>487</v>
      </c>
      <c r="C142" s="37" t="s">
        <v>488</v>
      </c>
      <c r="D142" s="37" t="s">
        <v>540</v>
      </c>
      <c r="E142" s="84" t="n">
        <v>5.6999</v>
      </c>
      <c r="F142" s="21" t="n">
        <f aca="false">INDEX('Perhitungan Upah'!$C$5:$C$13,MATCH(C142,'Perhitungan Upah'!$B$5:$B$13,0))</f>
        <v>130500</v>
      </c>
      <c r="G142" s="21" t="n">
        <f aca="false">E142*F142</f>
        <v>743836.95</v>
      </c>
      <c r="H142" s="85" t="s">
        <v>108</v>
      </c>
      <c r="I142" s="85" t="s">
        <v>104</v>
      </c>
      <c r="J142" s="85" t="s">
        <v>541</v>
      </c>
      <c r="K142" s="86" t="n">
        <f aca="false">$K$140</f>
        <v>0.864</v>
      </c>
      <c r="L142" s="86" t="n">
        <f aca="false">E142*K142</f>
        <v>4.9247136</v>
      </c>
    </row>
    <row r="143" customFormat="false" ht="15" hidden="false" customHeight="true" outlineLevel="0" collapsed="false">
      <c r="A143" s="24"/>
      <c r="B143" s="20" t="s">
        <v>490</v>
      </c>
      <c r="C143" s="37" t="s">
        <v>491</v>
      </c>
      <c r="D143" s="37" t="s">
        <v>540</v>
      </c>
      <c r="E143" s="84" t="n">
        <v>0.1238</v>
      </c>
      <c r="F143" s="21" t="n">
        <f aca="false">INDEX('Perhitungan Upah'!$C$5:$C$13,MATCH(C143,'Perhitungan Upah'!$B$5:$B$13,0))</f>
        <v>175300</v>
      </c>
      <c r="G143" s="21" t="n">
        <f aca="false">E143*F143</f>
        <v>21702.14</v>
      </c>
      <c r="H143" s="85" t="s">
        <v>108</v>
      </c>
      <c r="I143" s="85" t="s">
        <v>104</v>
      </c>
      <c r="J143" s="85" t="s">
        <v>541</v>
      </c>
      <c r="K143" s="86" t="n">
        <f aca="false">$K$140</f>
        <v>0.864</v>
      </c>
      <c r="L143" s="86" t="n">
        <f aca="false">E143*K143</f>
        <v>0.1069632</v>
      </c>
    </row>
    <row r="144" customFormat="false" ht="15" hidden="false" customHeight="true" outlineLevel="0" collapsed="false">
      <c r="A144" s="24"/>
      <c r="B144" s="20" t="s">
        <v>502</v>
      </c>
      <c r="C144" s="37" t="s">
        <v>503</v>
      </c>
      <c r="D144" s="37" t="s">
        <v>540</v>
      </c>
      <c r="E144" s="84" t="n">
        <v>0.3108</v>
      </c>
      <c r="F144" s="21" t="n">
        <f aca="false">INDEX('Perhitungan Upah'!$C$5:$C$13,MATCH(C144,'Perhitungan Upah'!$B$5:$B$13,0))</f>
        <v>198900</v>
      </c>
      <c r="G144" s="21" t="n">
        <f aca="false">E144*F144</f>
        <v>61818.12</v>
      </c>
      <c r="H144" s="85" t="s">
        <v>108</v>
      </c>
      <c r="I144" s="85" t="s">
        <v>104</v>
      </c>
      <c r="J144" s="85" t="s">
        <v>541</v>
      </c>
      <c r="K144" s="86" t="n">
        <f aca="false">$K$140</f>
        <v>0.864</v>
      </c>
      <c r="L144" s="86" t="n">
        <f aca="false">E144*K144</f>
        <v>0.2685312</v>
      </c>
    </row>
    <row r="145" customFormat="false" ht="15" hidden="false" customHeight="true" outlineLevel="0" collapsed="false">
      <c r="A145" s="24"/>
      <c r="B145" s="20" t="s">
        <v>504</v>
      </c>
      <c r="C145" s="37" t="s">
        <v>505</v>
      </c>
      <c r="D145" s="37" t="s">
        <v>540</v>
      </c>
      <c r="E145" s="84" t="n">
        <v>0.2924</v>
      </c>
      <c r="F145" s="21" t="n">
        <f aca="false">INDEX('Perhitungan Upah'!$C$5:$C$13,MATCH(C145,'Perhitungan Upah'!$B$5:$B$13,0))</f>
        <v>228300</v>
      </c>
      <c r="G145" s="21" t="n">
        <f aca="false">E145*F145</f>
        <v>66754.92</v>
      </c>
      <c r="H145" s="85" t="s">
        <v>108</v>
      </c>
      <c r="I145" s="85" t="s">
        <v>104</v>
      </c>
      <c r="J145" s="85" t="s">
        <v>541</v>
      </c>
      <c r="K145" s="86" t="n">
        <f aca="false">$K$140</f>
        <v>0.864</v>
      </c>
      <c r="L145" s="86" t="n">
        <f aca="false">E145*K145</f>
        <v>0.2526336</v>
      </c>
    </row>
    <row r="146" customFormat="false" ht="15" hidden="false" customHeight="true" outlineLevel="0" collapsed="false">
      <c r="A146" s="24"/>
      <c r="B146" s="20" t="s">
        <v>494</v>
      </c>
      <c r="C146" s="37" t="s">
        <v>495</v>
      </c>
      <c r="D146" s="37" t="s">
        <v>540</v>
      </c>
      <c r="E146" s="84" t="n">
        <v>1.0073</v>
      </c>
      <c r="F146" s="21" t="n">
        <f aca="false">INDEX('Perhitungan Upah'!$C$5:$C$13,MATCH(C146,'Perhitungan Upah'!$B$5:$B$13,0))</f>
        <v>174700</v>
      </c>
      <c r="G146" s="21" t="n">
        <f aca="false">E146*F146</f>
        <v>175975.31</v>
      </c>
      <c r="H146" s="85" t="s">
        <v>108</v>
      </c>
      <c r="I146" s="85" t="s">
        <v>104</v>
      </c>
      <c r="J146" s="85" t="s">
        <v>541</v>
      </c>
      <c r="K146" s="86" t="n">
        <f aca="false">$K$140</f>
        <v>0.864</v>
      </c>
      <c r="L146" s="86" t="n">
        <f aca="false">E146*K146</f>
        <v>0.8703072</v>
      </c>
    </row>
    <row r="147" customFormat="false" ht="15" hidden="false" customHeight="true" outlineLevel="0" collapsed="false">
      <c r="A147" s="24"/>
      <c r="B147" s="20" t="s">
        <v>492</v>
      </c>
      <c r="C147" s="37" t="s">
        <v>493</v>
      </c>
      <c r="D147" s="37" t="s">
        <v>540</v>
      </c>
      <c r="E147" s="84" t="n">
        <v>1.9751</v>
      </c>
      <c r="F147" s="21" t="n">
        <f aca="false">INDEX('Perhitungan Upah'!$C$5:$C$13,MATCH(C147,'Perhitungan Upah'!$B$5:$B$13,0))</f>
        <v>174700</v>
      </c>
      <c r="G147" s="21" t="n">
        <f aca="false">E147*F147</f>
        <v>345049.97</v>
      </c>
      <c r="H147" s="85" t="s">
        <v>108</v>
      </c>
      <c r="I147" s="85" t="s">
        <v>104</v>
      </c>
      <c r="J147" s="85" t="s">
        <v>541</v>
      </c>
      <c r="K147" s="86" t="n">
        <f aca="false">$K$140</f>
        <v>0.864</v>
      </c>
      <c r="L147" s="86" t="n">
        <f aca="false">E147*K147</f>
        <v>1.7064864</v>
      </c>
    </row>
    <row r="148" customFormat="false" ht="15" hidden="false" customHeight="true" outlineLevel="0" collapsed="false">
      <c r="A148" s="87"/>
      <c r="B148" s="88" t="s">
        <v>542</v>
      </c>
      <c r="C148" s="87"/>
      <c r="D148" s="87"/>
      <c r="E148" s="87"/>
      <c r="F148" s="87"/>
      <c r="G148" s="89" t="n">
        <f aca="false">SUM(G142:G147)</f>
        <v>1415137.41</v>
      </c>
      <c r="H148" s="24"/>
      <c r="I148" s="24"/>
      <c r="J148" s="24"/>
      <c r="K148" s="24"/>
      <c r="L148" s="24"/>
    </row>
    <row r="149" customFormat="false" ht="15" hidden="false" customHeight="true" outlineLevel="0" collapsed="false">
      <c r="A149" s="83" t="s">
        <v>543</v>
      </c>
      <c r="B149" s="25" t="s">
        <v>544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</row>
    <row r="150" customFormat="false" ht="15" hidden="false" customHeight="true" outlineLevel="0" collapsed="false">
      <c r="A150" s="24"/>
      <c r="B150" s="20" t="s">
        <v>297</v>
      </c>
      <c r="C150" s="37" t="s">
        <v>296</v>
      </c>
      <c r="D150" s="37" t="s">
        <v>299</v>
      </c>
      <c r="E150" s="84" t="n">
        <v>342.3</v>
      </c>
      <c r="F150" s="21" t="n">
        <f aca="false">VLOOKUP(C150,'Perhitungan Bahan'!$A$5:$J$61,10,FALSE())</f>
        <v>1575</v>
      </c>
      <c r="G150" s="21" t="n">
        <f aca="false">E150*F150</f>
        <v>539122.5</v>
      </c>
      <c r="H150" s="85" t="s">
        <v>108</v>
      </c>
      <c r="I150" s="85" t="s">
        <v>104</v>
      </c>
      <c r="J150" s="85" t="s">
        <v>282</v>
      </c>
      <c r="K150" s="86" t="n">
        <f aca="false">$K$140</f>
        <v>0.864</v>
      </c>
      <c r="L150" s="86" t="n">
        <f aca="false">E150*K150</f>
        <v>295.7472</v>
      </c>
    </row>
    <row r="151" customFormat="false" ht="15" hidden="false" customHeight="true" outlineLevel="0" collapsed="false">
      <c r="A151" s="24"/>
      <c r="B151" s="20" t="s">
        <v>309</v>
      </c>
      <c r="C151" s="37" t="s">
        <v>308</v>
      </c>
      <c r="D151" s="37" t="s">
        <v>93</v>
      </c>
      <c r="E151" s="84" t="n">
        <v>0.5973</v>
      </c>
      <c r="F151" s="21" t="n">
        <f aca="false">VLOOKUP(C151,'Perhitungan Bahan'!$A$5:$J$61,10,FALSE())</f>
        <v>379000</v>
      </c>
      <c r="G151" s="21" t="n">
        <f aca="false">E151*F151</f>
        <v>226376.7</v>
      </c>
      <c r="H151" s="85" t="s">
        <v>108</v>
      </c>
      <c r="I151" s="85" t="s">
        <v>104</v>
      </c>
      <c r="J151" s="85" t="s">
        <v>282</v>
      </c>
      <c r="K151" s="86" t="n">
        <f aca="false">$K$140</f>
        <v>0.864</v>
      </c>
      <c r="L151" s="86" t="n">
        <f aca="false">E151*K151</f>
        <v>0.5160672</v>
      </c>
    </row>
    <row r="152" customFormat="false" ht="15" hidden="false" customHeight="true" outlineLevel="0" collapsed="false">
      <c r="A152" s="24"/>
      <c r="B152" s="20" t="s">
        <v>312</v>
      </c>
      <c r="C152" s="37" t="s">
        <v>311</v>
      </c>
      <c r="D152" s="37" t="s">
        <v>93</v>
      </c>
      <c r="E152" s="84" t="n">
        <v>0.8404</v>
      </c>
      <c r="F152" s="21" t="n">
        <f aca="false">VLOOKUP(C152,'Perhitungan Bahan'!$A$5:$J$61,10,FALSE())</f>
        <v>385900</v>
      </c>
      <c r="G152" s="21" t="n">
        <f aca="false">E152*F152</f>
        <v>324310.36</v>
      </c>
      <c r="H152" s="85" t="s">
        <v>108</v>
      </c>
      <c r="I152" s="85" t="s">
        <v>104</v>
      </c>
      <c r="J152" s="85" t="s">
        <v>282</v>
      </c>
      <c r="K152" s="86" t="n">
        <f aca="false">$K$140</f>
        <v>0.864</v>
      </c>
      <c r="L152" s="86" t="n">
        <f aca="false">E152*K152</f>
        <v>0.7261056</v>
      </c>
    </row>
    <row r="153" customFormat="false" ht="15" hidden="false" customHeight="true" outlineLevel="0" collapsed="false">
      <c r="A153" s="24"/>
      <c r="B153" s="20" t="s">
        <v>320</v>
      </c>
      <c r="C153" s="37" t="s">
        <v>319</v>
      </c>
      <c r="D153" s="37" t="s">
        <v>299</v>
      </c>
      <c r="E153" s="84" t="n">
        <v>120.67</v>
      </c>
      <c r="F153" s="21" t="n">
        <f aca="false">VLOOKUP(C153,'Perhitungan Bahan'!$A$5:$J$61,10,FALSE())</f>
        <v>11554.0540540541</v>
      </c>
      <c r="G153" s="21" t="n">
        <f aca="false">E153*F153</f>
        <v>1394227.7027027</v>
      </c>
      <c r="H153" s="85" t="s">
        <v>108</v>
      </c>
      <c r="I153" s="85" t="s">
        <v>104</v>
      </c>
      <c r="J153" s="85" t="s">
        <v>282</v>
      </c>
      <c r="K153" s="86" t="n">
        <f aca="false">$K$140</f>
        <v>0.864</v>
      </c>
      <c r="L153" s="86" t="n">
        <f aca="false">E153*K153</f>
        <v>104.25888</v>
      </c>
    </row>
    <row r="154" customFormat="false" ht="15" hidden="false" customHeight="true" outlineLevel="0" collapsed="false">
      <c r="A154" s="24"/>
      <c r="B154" s="20" t="s">
        <v>328</v>
      </c>
      <c r="C154" s="37" t="s">
        <v>327</v>
      </c>
      <c r="D154" s="37" t="s">
        <v>299</v>
      </c>
      <c r="E154" s="84" t="n">
        <v>37.62</v>
      </c>
      <c r="F154" s="21" t="n">
        <f aca="false">VLOOKUP(C154,'Perhitungan Bahan'!$A$5:$J$61,10,FALSE())</f>
        <v>11315.7894736842</v>
      </c>
      <c r="G154" s="21" t="n">
        <f aca="false">E154*F154</f>
        <v>425700</v>
      </c>
      <c r="H154" s="85" t="s">
        <v>108</v>
      </c>
      <c r="I154" s="85" t="s">
        <v>104</v>
      </c>
      <c r="J154" s="85" t="s">
        <v>282</v>
      </c>
      <c r="K154" s="86" t="n">
        <f aca="false">$K$140</f>
        <v>0.864</v>
      </c>
      <c r="L154" s="86" t="n">
        <f aca="false">E154*K154</f>
        <v>32.50368</v>
      </c>
    </row>
    <row r="155" customFormat="false" ht="15" hidden="false" customHeight="true" outlineLevel="0" collapsed="false">
      <c r="A155" s="24"/>
      <c r="B155" s="20" t="s">
        <v>332</v>
      </c>
      <c r="C155" s="37" t="s">
        <v>331</v>
      </c>
      <c r="D155" s="37" t="s">
        <v>299</v>
      </c>
      <c r="E155" s="84" t="n">
        <v>2.1585</v>
      </c>
      <c r="F155" s="21" t="n">
        <f aca="false">VLOOKUP(C155,'Perhitungan Bahan'!$A$5:$J$61,10,FALSE())</f>
        <v>26200</v>
      </c>
      <c r="G155" s="21" t="n">
        <f aca="false">E155*F155</f>
        <v>56552.7</v>
      </c>
      <c r="H155" s="85" t="s">
        <v>108</v>
      </c>
      <c r="I155" s="85" t="s">
        <v>104</v>
      </c>
      <c r="J155" s="85" t="s">
        <v>282</v>
      </c>
      <c r="K155" s="86" t="n">
        <f aca="false">$K$140</f>
        <v>0.864</v>
      </c>
      <c r="L155" s="86" t="n">
        <f aca="false">E155*K155</f>
        <v>1.864944</v>
      </c>
    </row>
    <row r="156" customFormat="false" ht="15" hidden="false" customHeight="true" outlineLevel="0" collapsed="false">
      <c r="A156" s="24"/>
      <c r="B156" s="20" t="s">
        <v>334</v>
      </c>
      <c r="C156" s="37" t="s">
        <v>333</v>
      </c>
      <c r="D156" s="37" t="s">
        <v>336</v>
      </c>
      <c r="E156" s="84" t="n">
        <v>1.16375</v>
      </c>
      <c r="F156" s="21" t="n">
        <f aca="false">VLOOKUP(C156,'Perhitungan Bahan'!$A$5:$J$61,10,FALSE())</f>
        <v>214200</v>
      </c>
      <c r="G156" s="21" t="n">
        <f aca="false">E156*F156</f>
        <v>249275.25</v>
      </c>
      <c r="H156" s="85" t="s">
        <v>108</v>
      </c>
      <c r="I156" s="85" t="s">
        <v>104</v>
      </c>
      <c r="J156" s="85" t="s">
        <v>282</v>
      </c>
      <c r="K156" s="86" t="n">
        <f aca="false">$K$140</f>
        <v>0.864</v>
      </c>
      <c r="L156" s="86" t="n">
        <f aca="false">E156*K156</f>
        <v>1.00548</v>
      </c>
    </row>
    <row r="157" customFormat="false" ht="15" hidden="false" customHeight="true" outlineLevel="0" collapsed="false">
      <c r="A157" s="24"/>
      <c r="B157" s="20" t="s">
        <v>338</v>
      </c>
      <c r="C157" s="37" t="s">
        <v>337</v>
      </c>
      <c r="D157" s="37" t="s">
        <v>322</v>
      </c>
      <c r="E157" s="84" t="n">
        <v>13.0625</v>
      </c>
      <c r="F157" s="21" t="n">
        <f aca="false">VLOOKUP(C157,'Perhitungan Bahan'!$A$5:$J$61,10,FALSE())</f>
        <v>38000</v>
      </c>
      <c r="G157" s="21" t="n">
        <f aca="false">E157*F157</f>
        <v>496375</v>
      </c>
      <c r="H157" s="85" t="s">
        <v>108</v>
      </c>
      <c r="I157" s="85" t="s">
        <v>104</v>
      </c>
      <c r="J157" s="85" t="s">
        <v>282</v>
      </c>
      <c r="K157" s="86" t="n">
        <f aca="false">$K$140</f>
        <v>0.864</v>
      </c>
      <c r="L157" s="86" t="n">
        <f aca="false">E157*K157</f>
        <v>11.286</v>
      </c>
    </row>
    <row r="158" customFormat="false" ht="15" hidden="false" customHeight="true" outlineLevel="0" collapsed="false">
      <c r="A158" s="24"/>
      <c r="B158" s="20" t="s">
        <v>342</v>
      </c>
      <c r="C158" s="37" t="s">
        <v>341</v>
      </c>
      <c r="D158" s="37" t="s">
        <v>299</v>
      </c>
      <c r="E158" s="84" t="n">
        <v>1.33</v>
      </c>
      <c r="F158" s="21" t="n">
        <f aca="false">VLOOKUP(C158,'Perhitungan Bahan'!$A$5:$J$61,10,FALSE())</f>
        <v>24200</v>
      </c>
      <c r="G158" s="21" t="n">
        <f aca="false">E158*F158</f>
        <v>32186</v>
      </c>
      <c r="H158" s="85" t="s">
        <v>108</v>
      </c>
      <c r="I158" s="85" t="s">
        <v>104</v>
      </c>
      <c r="J158" s="85" t="s">
        <v>282</v>
      </c>
      <c r="K158" s="86" t="n">
        <f aca="false">$K$140</f>
        <v>0.864</v>
      </c>
      <c r="L158" s="86" t="n">
        <f aca="false">E158*K158</f>
        <v>1.14912</v>
      </c>
    </row>
    <row r="159" customFormat="false" ht="15" hidden="false" customHeight="true" outlineLevel="0" collapsed="false">
      <c r="A159" s="24"/>
      <c r="B159" s="20" t="s">
        <v>344</v>
      </c>
      <c r="C159" s="37" t="s">
        <v>343</v>
      </c>
      <c r="D159" s="37" t="s">
        <v>345</v>
      </c>
      <c r="E159" s="84" t="n">
        <v>0.665</v>
      </c>
      <c r="F159" s="21" t="n">
        <f aca="false">VLOOKUP(C159,'Perhitungan Bahan'!$A$5:$J$61,10,FALSE())</f>
        <v>26400</v>
      </c>
      <c r="G159" s="21" t="n">
        <f aca="false">E159*F159</f>
        <v>17556</v>
      </c>
      <c r="H159" s="85" t="s">
        <v>108</v>
      </c>
      <c r="I159" s="85" t="s">
        <v>104</v>
      </c>
      <c r="J159" s="85" t="s">
        <v>282</v>
      </c>
      <c r="K159" s="86" t="n">
        <f aca="false">$K$140</f>
        <v>0.864</v>
      </c>
      <c r="L159" s="86" t="n">
        <f aca="false">E159*K159</f>
        <v>0.57456</v>
      </c>
    </row>
    <row r="160" customFormat="false" ht="15" hidden="false" customHeight="true" outlineLevel="0" collapsed="false">
      <c r="A160" s="87"/>
      <c r="B160" s="88" t="s">
        <v>71</v>
      </c>
      <c r="C160" s="87"/>
      <c r="D160" s="87"/>
      <c r="E160" s="87"/>
      <c r="F160" s="87"/>
      <c r="G160" s="89" t="n">
        <f aca="false">SUM(G150:G159)</f>
        <v>3761682.2127027</v>
      </c>
      <c r="H160" s="24"/>
      <c r="I160" s="24"/>
      <c r="J160" s="24"/>
      <c r="K160" s="24"/>
      <c r="L160" s="24"/>
    </row>
    <row r="161" customFormat="false" ht="15" hidden="false" customHeight="true" outlineLevel="0" collapsed="false">
      <c r="A161" s="90" t="s">
        <v>545</v>
      </c>
      <c r="B161" s="91" t="s">
        <v>546</v>
      </c>
      <c r="C161" s="92"/>
      <c r="D161" s="92"/>
      <c r="E161" s="92"/>
      <c r="F161" s="92"/>
      <c r="G161" s="93" t="n">
        <f aca="false">G148+G160</f>
        <v>5176819.6227027</v>
      </c>
      <c r="H161" s="24"/>
      <c r="I161" s="24"/>
      <c r="J161" s="24"/>
      <c r="K161" s="24"/>
      <c r="L161" s="24"/>
    </row>
    <row r="162" customFormat="false" ht="15" hidden="false" customHeight="true" outlineLevel="0" collapsed="false">
      <c r="A162" s="37" t="s">
        <v>547</v>
      </c>
      <c r="B162" s="20" t="s">
        <v>548</v>
      </c>
      <c r="C162" s="24"/>
      <c r="D162" s="24"/>
      <c r="E162" s="94" t="n">
        <f aca="false">Parameter!$B$4</f>
        <v>0.15</v>
      </c>
      <c r="F162" s="24"/>
      <c r="G162" s="21" t="n">
        <f aca="false">G161*E162</f>
        <v>776522.943405405</v>
      </c>
      <c r="H162" s="24"/>
      <c r="I162" s="24"/>
      <c r="J162" s="24"/>
      <c r="K162" s="24"/>
      <c r="L162" s="24"/>
    </row>
    <row r="163" customFormat="false" ht="15" hidden="false" customHeight="true" outlineLevel="0" collapsed="false">
      <c r="A163" s="95" t="s">
        <v>549</v>
      </c>
      <c r="B163" s="96" t="s">
        <v>550</v>
      </c>
      <c r="C163" s="97"/>
      <c r="D163" s="97"/>
      <c r="E163" s="97"/>
      <c r="F163" s="97"/>
      <c r="G163" s="98" t="n">
        <f aca="false">G161+G162</f>
        <v>5953342.56610811</v>
      </c>
      <c r="H163" s="24"/>
      <c r="I163" s="24"/>
      <c r="J163" s="24"/>
      <c r="K163" s="24"/>
      <c r="L163" s="24"/>
    </row>
    <row r="165" customFormat="false" ht="23.25" hidden="false" customHeight="true" outlineLevel="0" collapsed="false">
      <c r="A165" s="35" t="s">
        <v>110</v>
      </c>
      <c r="B165" s="35" t="s">
        <v>561</v>
      </c>
      <c r="C165" s="35"/>
      <c r="D165" s="35"/>
      <c r="E165" s="35"/>
      <c r="F165" s="35"/>
      <c r="G165" s="35"/>
      <c r="H165" s="35"/>
      <c r="I165" s="35"/>
      <c r="J165" s="81" t="s">
        <v>537</v>
      </c>
      <c r="K165" s="82" t="n">
        <f aca="false">Volume!$B$39</f>
        <v>0.621</v>
      </c>
      <c r="L165" s="35"/>
    </row>
    <row r="166" customFormat="false" ht="15" hidden="false" customHeight="true" outlineLevel="0" collapsed="false">
      <c r="A166" s="83" t="s">
        <v>538</v>
      </c>
      <c r="B166" s="25" t="s">
        <v>539</v>
      </c>
      <c r="C166" s="24"/>
      <c r="D166" s="24"/>
      <c r="E166" s="24"/>
      <c r="F166" s="24"/>
      <c r="G166" s="24"/>
      <c r="H166" s="24"/>
      <c r="I166" s="24"/>
      <c r="J166" s="24"/>
      <c r="K166" s="24"/>
      <c r="L166" s="24"/>
    </row>
    <row r="167" customFormat="false" ht="15" hidden="false" customHeight="true" outlineLevel="0" collapsed="false">
      <c r="A167" s="24"/>
      <c r="B167" s="20" t="s">
        <v>487</v>
      </c>
      <c r="C167" s="37" t="s">
        <v>488</v>
      </c>
      <c r="D167" s="37" t="s">
        <v>540</v>
      </c>
      <c r="E167" s="84" t="n">
        <v>6.9267</v>
      </c>
      <c r="F167" s="21" t="n">
        <f aca="false">INDEX('Perhitungan Upah'!$C$5:$C$13,MATCH(C167,'Perhitungan Upah'!$B$5:$B$13,0))</f>
        <v>130500</v>
      </c>
      <c r="G167" s="21" t="n">
        <f aca="false">E167*F167</f>
        <v>903934.35</v>
      </c>
      <c r="H167" s="85" t="s">
        <v>110</v>
      </c>
      <c r="I167" s="85" t="s">
        <v>104</v>
      </c>
      <c r="J167" s="85" t="s">
        <v>541</v>
      </c>
      <c r="K167" s="86" t="n">
        <f aca="false">$K$165</f>
        <v>0.621</v>
      </c>
      <c r="L167" s="86" t="n">
        <f aca="false">E167*K167</f>
        <v>4.3014807</v>
      </c>
    </row>
    <row r="168" customFormat="false" ht="15" hidden="false" customHeight="true" outlineLevel="0" collapsed="false">
      <c r="A168" s="24"/>
      <c r="B168" s="20" t="s">
        <v>490</v>
      </c>
      <c r="C168" s="37" t="s">
        <v>491</v>
      </c>
      <c r="D168" s="37" t="s">
        <v>540</v>
      </c>
      <c r="E168" s="84" t="n">
        <v>0.1238</v>
      </c>
      <c r="F168" s="21" t="n">
        <f aca="false">INDEX('Perhitungan Upah'!$C$5:$C$13,MATCH(C168,'Perhitungan Upah'!$B$5:$B$13,0))</f>
        <v>175300</v>
      </c>
      <c r="G168" s="21" t="n">
        <f aca="false">E168*F168</f>
        <v>21702.14</v>
      </c>
      <c r="H168" s="85" t="s">
        <v>110</v>
      </c>
      <c r="I168" s="85" t="s">
        <v>104</v>
      </c>
      <c r="J168" s="85" t="s">
        <v>541</v>
      </c>
      <c r="K168" s="86" t="n">
        <f aca="false">$K$165</f>
        <v>0.621</v>
      </c>
      <c r="L168" s="86" t="n">
        <f aca="false">E168*K168</f>
        <v>0.0768798</v>
      </c>
    </row>
    <row r="169" customFormat="false" ht="15" hidden="false" customHeight="true" outlineLevel="0" collapsed="false">
      <c r="A169" s="24"/>
      <c r="B169" s="20" t="s">
        <v>502</v>
      </c>
      <c r="C169" s="37" t="s">
        <v>503</v>
      </c>
      <c r="D169" s="37" t="s">
        <v>540</v>
      </c>
      <c r="E169" s="84" t="n">
        <v>0.383</v>
      </c>
      <c r="F169" s="21" t="n">
        <f aca="false">INDEX('Perhitungan Upah'!$C$5:$C$13,MATCH(C169,'Perhitungan Upah'!$B$5:$B$13,0))</f>
        <v>198900</v>
      </c>
      <c r="G169" s="21" t="n">
        <f aca="false">E169*F169</f>
        <v>76178.7</v>
      </c>
      <c r="H169" s="85" t="s">
        <v>110</v>
      </c>
      <c r="I169" s="85" t="s">
        <v>104</v>
      </c>
      <c r="J169" s="85" t="s">
        <v>541</v>
      </c>
      <c r="K169" s="86" t="n">
        <f aca="false">$K$165</f>
        <v>0.621</v>
      </c>
      <c r="L169" s="86" t="n">
        <f aca="false">E169*K169</f>
        <v>0.237843</v>
      </c>
    </row>
    <row r="170" customFormat="false" ht="15" hidden="false" customHeight="true" outlineLevel="0" collapsed="false">
      <c r="A170" s="24"/>
      <c r="B170" s="20" t="s">
        <v>504</v>
      </c>
      <c r="C170" s="37" t="s">
        <v>505</v>
      </c>
      <c r="D170" s="37" t="s">
        <v>540</v>
      </c>
      <c r="E170" s="84" t="n">
        <v>0.3553</v>
      </c>
      <c r="F170" s="21" t="n">
        <f aca="false">INDEX('Perhitungan Upah'!$C$5:$C$13,MATCH(C170,'Perhitungan Upah'!$B$5:$B$13,0))</f>
        <v>228300</v>
      </c>
      <c r="G170" s="21" t="n">
        <f aca="false">E170*F170</f>
        <v>81114.99</v>
      </c>
      <c r="H170" s="85" t="s">
        <v>110</v>
      </c>
      <c r="I170" s="85" t="s">
        <v>104</v>
      </c>
      <c r="J170" s="85" t="s">
        <v>541</v>
      </c>
      <c r="K170" s="86" t="n">
        <f aca="false">$K$165</f>
        <v>0.621</v>
      </c>
      <c r="L170" s="86" t="n">
        <f aca="false">E170*K170</f>
        <v>0.2206413</v>
      </c>
    </row>
    <row r="171" customFormat="false" ht="15" hidden="false" customHeight="true" outlineLevel="0" collapsed="false">
      <c r="A171" s="24"/>
      <c r="B171" s="20" t="s">
        <v>494</v>
      </c>
      <c r="C171" s="37" t="s">
        <v>495</v>
      </c>
      <c r="D171" s="37" t="s">
        <v>540</v>
      </c>
      <c r="E171" s="84" t="n">
        <v>1.2243</v>
      </c>
      <c r="F171" s="21" t="n">
        <f aca="false">INDEX('Perhitungan Upah'!$C$5:$C$13,MATCH(C171,'Perhitungan Upah'!$B$5:$B$13,0))</f>
        <v>174700</v>
      </c>
      <c r="G171" s="21" t="n">
        <f aca="false">E171*F171</f>
        <v>213885.21</v>
      </c>
      <c r="H171" s="85" t="s">
        <v>110</v>
      </c>
      <c r="I171" s="85" t="s">
        <v>104</v>
      </c>
      <c r="J171" s="85" t="s">
        <v>541</v>
      </c>
      <c r="K171" s="86" t="n">
        <f aca="false">$K$165</f>
        <v>0.621</v>
      </c>
      <c r="L171" s="86" t="n">
        <f aca="false">E171*K171</f>
        <v>0.7602903</v>
      </c>
    </row>
    <row r="172" customFormat="false" ht="15" hidden="false" customHeight="true" outlineLevel="0" collapsed="false">
      <c r="A172" s="24"/>
      <c r="B172" s="20" t="s">
        <v>492</v>
      </c>
      <c r="C172" s="37" t="s">
        <v>493</v>
      </c>
      <c r="D172" s="37" t="s">
        <v>540</v>
      </c>
      <c r="E172" s="84" t="n">
        <v>2.48</v>
      </c>
      <c r="F172" s="21" t="n">
        <f aca="false">INDEX('Perhitungan Upah'!$C$5:$C$13,MATCH(C172,'Perhitungan Upah'!$B$5:$B$13,0))</f>
        <v>174700</v>
      </c>
      <c r="G172" s="21" t="n">
        <f aca="false">E172*F172</f>
        <v>433256</v>
      </c>
      <c r="H172" s="85" t="s">
        <v>110</v>
      </c>
      <c r="I172" s="85" t="s">
        <v>104</v>
      </c>
      <c r="J172" s="85" t="s">
        <v>541</v>
      </c>
      <c r="K172" s="86" t="n">
        <f aca="false">$K$165</f>
        <v>0.621</v>
      </c>
      <c r="L172" s="86" t="n">
        <f aca="false">E172*K172</f>
        <v>1.54008</v>
      </c>
    </row>
    <row r="173" customFormat="false" ht="15" hidden="false" customHeight="true" outlineLevel="0" collapsed="false">
      <c r="A173" s="87"/>
      <c r="B173" s="88" t="s">
        <v>542</v>
      </c>
      <c r="C173" s="87"/>
      <c r="D173" s="87"/>
      <c r="E173" s="87"/>
      <c r="F173" s="87"/>
      <c r="G173" s="89" t="n">
        <f aca="false">SUM(G167:G172)</f>
        <v>1730071.39</v>
      </c>
      <c r="H173" s="24"/>
      <c r="I173" s="24"/>
      <c r="J173" s="24"/>
      <c r="K173" s="24"/>
      <c r="L173" s="24"/>
    </row>
    <row r="174" customFormat="false" ht="15" hidden="false" customHeight="true" outlineLevel="0" collapsed="false">
      <c r="A174" s="83" t="s">
        <v>543</v>
      </c>
      <c r="B174" s="25" t="s">
        <v>544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</row>
    <row r="175" customFormat="false" ht="15" hidden="false" customHeight="true" outlineLevel="0" collapsed="false">
      <c r="A175" s="24"/>
      <c r="B175" s="20" t="s">
        <v>297</v>
      </c>
      <c r="C175" s="37" t="s">
        <v>296</v>
      </c>
      <c r="D175" s="37" t="s">
        <v>299</v>
      </c>
      <c r="E175" s="84" t="n">
        <v>342.3</v>
      </c>
      <c r="F175" s="21" t="n">
        <f aca="false">VLOOKUP(C175,'Perhitungan Bahan'!$A$5:$J$61,10,FALSE())</f>
        <v>1575</v>
      </c>
      <c r="G175" s="21" t="n">
        <f aca="false">E175*F175</f>
        <v>539122.5</v>
      </c>
      <c r="H175" s="85" t="s">
        <v>110</v>
      </c>
      <c r="I175" s="85" t="s">
        <v>104</v>
      </c>
      <c r="J175" s="85" t="s">
        <v>282</v>
      </c>
      <c r="K175" s="86" t="n">
        <f aca="false">$K$165</f>
        <v>0.621</v>
      </c>
      <c r="L175" s="86" t="n">
        <f aca="false">E175*K175</f>
        <v>212.5683</v>
      </c>
    </row>
    <row r="176" customFormat="false" ht="15" hidden="false" customHeight="true" outlineLevel="0" collapsed="false">
      <c r="A176" s="24"/>
      <c r="B176" s="20" t="s">
        <v>309</v>
      </c>
      <c r="C176" s="37" t="s">
        <v>308</v>
      </c>
      <c r="D176" s="37" t="s">
        <v>93</v>
      </c>
      <c r="E176" s="84" t="n">
        <v>0.5973</v>
      </c>
      <c r="F176" s="21" t="n">
        <f aca="false">VLOOKUP(C176,'Perhitungan Bahan'!$A$5:$J$61,10,FALSE())</f>
        <v>379000</v>
      </c>
      <c r="G176" s="21" t="n">
        <f aca="false">E176*F176</f>
        <v>226376.7</v>
      </c>
      <c r="H176" s="85" t="s">
        <v>110</v>
      </c>
      <c r="I176" s="85" t="s">
        <v>104</v>
      </c>
      <c r="J176" s="85" t="s">
        <v>282</v>
      </c>
      <c r="K176" s="86" t="n">
        <f aca="false">$K$165</f>
        <v>0.621</v>
      </c>
      <c r="L176" s="86" t="n">
        <f aca="false">E176*K176</f>
        <v>0.3709233</v>
      </c>
    </row>
    <row r="177" customFormat="false" ht="15" hidden="false" customHeight="true" outlineLevel="0" collapsed="false">
      <c r="A177" s="24"/>
      <c r="B177" s="20" t="s">
        <v>312</v>
      </c>
      <c r="C177" s="37" t="s">
        <v>311</v>
      </c>
      <c r="D177" s="37" t="s">
        <v>93</v>
      </c>
      <c r="E177" s="84" t="n">
        <v>0.8404</v>
      </c>
      <c r="F177" s="21" t="n">
        <f aca="false">VLOOKUP(C177,'Perhitungan Bahan'!$A$5:$J$61,10,FALSE())</f>
        <v>385900</v>
      </c>
      <c r="G177" s="21" t="n">
        <f aca="false">E177*F177</f>
        <v>324310.36</v>
      </c>
      <c r="H177" s="85" t="s">
        <v>110</v>
      </c>
      <c r="I177" s="85" t="s">
        <v>104</v>
      </c>
      <c r="J177" s="85" t="s">
        <v>282</v>
      </c>
      <c r="K177" s="86" t="n">
        <f aca="false">$K$165</f>
        <v>0.621</v>
      </c>
      <c r="L177" s="86" t="n">
        <f aca="false">E177*K177</f>
        <v>0.5218884</v>
      </c>
    </row>
    <row r="178" customFormat="false" ht="15" hidden="false" customHeight="true" outlineLevel="0" collapsed="false">
      <c r="A178" s="24"/>
      <c r="B178" s="20" t="s">
        <v>320</v>
      </c>
      <c r="C178" s="37" t="s">
        <v>319</v>
      </c>
      <c r="D178" s="37" t="s">
        <v>299</v>
      </c>
      <c r="E178" s="84" t="n">
        <v>150.81</v>
      </c>
      <c r="F178" s="21" t="n">
        <f aca="false">VLOOKUP(C178,'Perhitungan Bahan'!$A$5:$J$61,10,FALSE())</f>
        <v>11554.0540540541</v>
      </c>
      <c r="G178" s="21" t="n">
        <f aca="false">E178*F178</f>
        <v>1742466.89189189</v>
      </c>
      <c r="H178" s="85" t="s">
        <v>110</v>
      </c>
      <c r="I178" s="85" t="s">
        <v>104</v>
      </c>
      <c r="J178" s="85" t="s">
        <v>282</v>
      </c>
      <c r="K178" s="86" t="n">
        <f aca="false">$K$165</f>
        <v>0.621</v>
      </c>
      <c r="L178" s="86" t="n">
        <f aca="false">E178*K178</f>
        <v>93.65301</v>
      </c>
    </row>
    <row r="179" customFormat="false" ht="15" hidden="false" customHeight="true" outlineLevel="0" collapsed="false">
      <c r="A179" s="24"/>
      <c r="B179" s="20" t="s">
        <v>328</v>
      </c>
      <c r="C179" s="37" t="s">
        <v>327</v>
      </c>
      <c r="D179" s="37" t="s">
        <v>299</v>
      </c>
      <c r="E179" s="84" t="n">
        <v>41.58</v>
      </c>
      <c r="F179" s="21" t="n">
        <f aca="false">VLOOKUP(C179,'Perhitungan Bahan'!$A$5:$J$61,10,FALSE())</f>
        <v>11315.7894736842</v>
      </c>
      <c r="G179" s="21" t="n">
        <f aca="false">E179*F179</f>
        <v>470510.526315789</v>
      </c>
      <c r="H179" s="85" t="s">
        <v>110</v>
      </c>
      <c r="I179" s="85" t="s">
        <v>104</v>
      </c>
      <c r="J179" s="85" t="s">
        <v>282</v>
      </c>
      <c r="K179" s="86" t="n">
        <f aca="false">$K$165</f>
        <v>0.621</v>
      </c>
      <c r="L179" s="86" t="n">
        <f aca="false">E179*K179</f>
        <v>25.82118</v>
      </c>
    </row>
    <row r="180" customFormat="false" ht="15" hidden="false" customHeight="true" outlineLevel="0" collapsed="false">
      <c r="A180" s="24"/>
      <c r="B180" s="20" t="s">
        <v>332</v>
      </c>
      <c r="C180" s="37" t="s">
        <v>331</v>
      </c>
      <c r="D180" s="37" t="s">
        <v>299</v>
      </c>
      <c r="E180" s="84" t="n">
        <v>2.6235</v>
      </c>
      <c r="F180" s="21" t="n">
        <f aca="false">VLOOKUP(C180,'Perhitungan Bahan'!$A$5:$J$61,10,FALSE())</f>
        <v>26200</v>
      </c>
      <c r="G180" s="21" t="n">
        <f aca="false">E180*F180</f>
        <v>68735.7</v>
      </c>
      <c r="H180" s="85" t="s">
        <v>110</v>
      </c>
      <c r="I180" s="85" t="s">
        <v>104</v>
      </c>
      <c r="J180" s="85" t="s">
        <v>282</v>
      </c>
      <c r="K180" s="86" t="n">
        <f aca="false">$K$165</f>
        <v>0.621</v>
      </c>
      <c r="L180" s="86" t="n">
        <f aca="false">E180*K180</f>
        <v>1.6291935</v>
      </c>
    </row>
    <row r="181" customFormat="false" ht="15" hidden="false" customHeight="true" outlineLevel="0" collapsed="false">
      <c r="A181" s="24"/>
      <c r="B181" s="20" t="s">
        <v>334</v>
      </c>
      <c r="C181" s="37" t="s">
        <v>333</v>
      </c>
      <c r="D181" s="37" t="s">
        <v>336</v>
      </c>
      <c r="E181" s="84" t="n">
        <v>1.46125</v>
      </c>
      <c r="F181" s="21" t="n">
        <f aca="false">VLOOKUP(C181,'Perhitungan Bahan'!$A$5:$J$61,10,FALSE())</f>
        <v>214200</v>
      </c>
      <c r="G181" s="21" t="n">
        <f aca="false">E181*F181</f>
        <v>312999.75</v>
      </c>
      <c r="H181" s="85" t="s">
        <v>110</v>
      </c>
      <c r="I181" s="85" t="s">
        <v>104</v>
      </c>
      <c r="J181" s="85" t="s">
        <v>282</v>
      </c>
      <c r="K181" s="86" t="n">
        <f aca="false">$K$165</f>
        <v>0.621</v>
      </c>
      <c r="L181" s="86" t="n">
        <f aca="false">E181*K181</f>
        <v>0.90743625</v>
      </c>
    </row>
    <row r="182" customFormat="false" ht="15" hidden="false" customHeight="true" outlineLevel="0" collapsed="false">
      <c r="A182" s="24"/>
      <c r="B182" s="20" t="s">
        <v>338</v>
      </c>
      <c r="C182" s="37" t="s">
        <v>337</v>
      </c>
      <c r="D182" s="37" t="s">
        <v>322</v>
      </c>
      <c r="E182" s="84" t="n">
        <v>16.40179</v>
      </c>
      <c r="F182" s="21" t="n">
        <f aca="false">VLOOKUP(C182,'Perhitungan Bahan'!$A$5:$J$61,10,FALSE())</f>
        <v>38000</v>
      </c>
      <c r="G182" s="21" t="n">
        <f aca="false">E182*F182</f>
        <v>623268.02</v>
      </c>
      <c r="H182" s="85" t="s">
        <v>110</v>
      </c>
      <c r="I182" s="85" t="s">
        <v>104</v>
      </c>
      <c r="J182" s="85" t="s">
        <v>282</v>
      </c>
      <c r="K182" s="86" t="n">
        <f aca="false">$K$165</f>
        <v>0.621</v>
      </c>
      <c r="L182" s="86" t="n">
        <f aca="false">E182*K182</f>
        <v>10.18551159</v>
      </c>
    </row>
    <row r="183" customFormat="false" ht="15" hidden="false" customHeight="true" outlineLevel="0" collapsed="false">
      <c r="A183" s="24"/>
      <c r="B183" s="20" t="s">
        <v>342</v>
      </c>
      <c r="C183" s="37" t="s">
        <v>341</v>
      </c>
      <c r="D183" s="37" t="s">
        <v>299</v>
      </c>
      <c r="E183" s="84" t="n">
        <v>1.67</v>
      </c>
      <c r="F183" s="21" t="n">
        <f aca="false">VLOOKUP(C183,'Perhitungan Bahan'!$A$5:$J$61,10,FALSE())</f>
        <v>24200</v>
      </c>
      <c r="G183" s="21" t="n">
        <f aca="false">E183*F183</f>
        <v>40414</v>
      </c>
      <c r="H183" s="85" t="s">
        <v>110</v>
      </c>
      <c r="I183" s="85" t="s">
        <v>104</v>
      </c>
      <c r="J183" s="85" t="s">
        <v>282</v>
      </c>
      <c r="K183" s="86" t="n">
        <f aca="false">$K$165</f>
        <v>0.621</v>
      </c>
      <c r="L183" s="86" t="n">
        <f aca="false">E183*K183</f>
        <v>1.03707</v>
      </c>
    </row>
    <row r="184" customFormat="false" ht="15" hidden="false" customHeight="true" outlineLevel="0" collapsed="false">
      <c r="A184" s="24"/>
      <c r="B184" s="20" t="s">
        <v>344</v>
      </c>
      <c r="C184" s="37" t="s">
        <v>343</v>
      </c>
      <c r="D184" s="37" t="s">
        <v>345</v>
      </c>
      <c r="E184" s="84" t="n">
        <v>0.835</v>
      </c>
      <c r="F184" s="21" t="n">
        <f aca="false">VLOOKUP(C184,'Perhitungan Bahan'!$A$5:$J$61,10,FALSE())</f>
        <v>26400</v>
      </c>
      <c r="G184" s="21" t="n">
        <f aca="false">E184*F184</f>
        <v>22044</v>
      </c>
      <c r="H184" s="85" t="s">
        <v>110</v>
      </c>
      <c r="I184" s="85" t="s">
        <v>104</v>
      </c>
      <c r="J184" s="85" t="s">
        <v>282</v>
      </c>
      <c r="K184" s="86" t="n">
        <f aca="false">$K$165</f>
        <v>0.621</v>
      </c>
      <c r="L184" s="86" t="n">
        <f aca="false">E184*K184</f>
        <v>0.518535</v>
      </c>
    </row>
    <row r="185" customFormat="false" ht="15" hidden="false" customHeight="true" outlineLevel="0" collapsed="false">
      <c r="A185" s="87"/>
      <c r="B185" s="88" t="s">
        <v>71</v>
      </c>
      <c r="C185" s="87"/>
      <c r="D185" s="87"/>
      <c r="E185" s="87"/>
      <c r="F185" s="87"/>
      <c r="G185" s="89" t="n">
        <f aca="false">SUM(G175:G184)</f>
        <v>4370248.44820768</v>
      </c>
      <c r="H185" s="24"/>
      <c r="I185" s="24"/>
      <c r="J185" s="24"/>
      <c r="K185" s="24"/>
      <c r="L185" s="24"/>
    </row>
    <row r="186" customFormat="false" ht="15" hidden="false" customHeight="true" outlineLevel="0" collapsed="false">
      <c r="A186" s="90" t="s">
        <v>545</v>
      </c>
      <c r="B186" s="91" t="s">
        <v>546</v>
      </c>
      <c r="C186" s="92"/>
      <c r="D186" s="92"/>
      <c r="E186" s="92"/>
      <c r="F186" s="92"/>
      <c r="G186" s="93" t="n">
        <f aca="false">G173+G185</f>
        <v>6100319.83820768</v>
      </c>
      <c r="H186" s="24"/>
      <c r="I186" s="24"/>
      <c r="J186" s="24"/>
      <c r="K186" s="24"/>
      <c r="L186" s="24"/>
    </row>
    <row r="187" customFormat="false" ht="15" hidden="false" customHeight="true" outlineLevel="0" collapsed="false">
      <c r="A187" s="37" t="s">
        <v>547</v>
      </c>
      <c r="B187" s="20" t="s">
        <v>548</v>
      </c>
      <c r="C187" s="24"/>
      <c r="D187" s="24"/>
      <c r="E187" s="94" t="n">
        <f aca="false">Parameter!$B$4</f>
        <v>0.15</v>
      </c>
      <c r="F187" s="24"/>
      <c r="G187" s="21" t="n">
        <f aca="false">G186*E187</f>
        <v>915047.975731152</v>
      </c>
      <c r="H187" s="24"/>
      <c r="I187" s="24"/>
      <c r="J187" s="24"/>
      <c r="K187" s="24"/>
      <c r="L187" s="24"/>
    </row>
    <row r="188" customFormat="false" ht="15" hidden="false" customHeight="true" outlineLevel="0" collapsed="false">
      <c r="A188" s="95" t="s">
        <v>549</v>
      </c>
      <c r="B188" s="96" t="s">
        <v>550</v>
      </c>
      <c r="C188" s="97"/>
      <c r="D188" s="97"/>
      <c r="E188" s="97"/>
      <c r="F188" s="97"/>
      <c r="G188" s="98" t="n">
        <f aca="false">G186+G187</f>
        <v>7015367.81393883</v>
      </c>
      <c r="H188" s="24"/>
      <c r="I188" s="24"/>
      <c r="J188" s="24"/>
      <c r="K188" s="24"/>
      <c r="L188" s="24"/>
    </row>
    <row r="190" customFormat="false" ht="23.25" hidden="false" customHeight="true" outlineLevel="0" collapsed="false">
      <c r="A190" s="35" t="s">
        <v>112</v>
      </c>
      <c r="B190" s="35" t="s">
        <v>562</v>
      </c>
      <c r="C190" s="35"/>
      <c r="D190" s="35"/>
      <c r="E190" s="35"/>
      <c r="F190" s="35"/>
      <c r="G190" s="35"/>
      <c r="H190" s="35"/>
      <c r="I190" s="35"/>
      <c r="J190" s="81" t="s">
        <v>537</v>
      </c>
      <c r="K190" s="82" t="n">
        <f aca="false">Volume!$B$40</f>
        <v>0.16272</v>
      </c>
      <c r="L190" s="35"/>
    </row>
    <row r="191" customFormat="false" ht="15" hidden="false" customHeight="true" outlineLevel="0" collapsed="false">
      <c r="A191" s="83" t="s">
        <v>538</v>
      </c>
      <c r="B191" s="25" t="s">
        <v>539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</row>
    <row r="192" customFormat="false" ht="15" hidden="false" customHeight="true" outlineLevel="0" collapsed="false">
      <c r="A192" s="24"/>
      <c r="B192" s="20" t="s">
        <v>487</v>
      </c>
      <c r="C192" s="37" t="s">
        <v>488</v>
      </c>
      <c r="D192" s="37" t="s">
        <v>540</v>
      </c>
      <c r="E192" s="84" t="n">
        <v>9.2231</v>
      </c>
      <c r="F192" s="21" t="n">
        <f aca="false">INDEX('Perhitungan Upah'!$C$5:$C$13,MATCH(C192,'Perhitungan Upah'!$B$5:$B$13,0))</f>
        <v>130500</v>
      </c>
      <c r="G192" s="21" t="n">
        <f aca="false">E192*F192</f>
        <v>1203614.55</v>
      </c>
      <c r="H192" s="85" t="s">
        <v>112</v>
      </c>
      <c r="I192" s="85" t="s">
        <v>104</v>
      </c>
      <c r="J192" s="85" t="s">
        <v>541</v>
      </c>
      <c r="K192" s="86" t="n">
        <f aca="false">$K$190</f>
        <v>0.16272</v>
      </c>
      <c r="L192" s="86" t="n">
        <f aca="false">E192*K192</f>
        <v>1.500782832</v>
      </c>
    </row>
    <row r="193" customFormat="false" ht="15" hidden="false" customHeight="true" outlineLevel="0" collapsed="false">
      <c r="A193" s="24"/>
      <c r="B193" s="20" t="s">
        <v>490</v>
      </c>
      <c r="C193" s="37" t="s">
        <v>491</v>
      </c>
      <c r="D193" s="37" t="s">
        <v>540</v>
      </c>
      <c r="E193" s="84" t="n">
        <v>0.1238</v>
      </c>
      <c r="F193" s="21" t="n">
        <f aca="false">INDEX('Perhitungan Upah'!$C$5:$C$13,MATCH(C193,'Perhitungan Upah'!$B$5:$B$13,0))</f>
        <v>175300</v>
      </c>
      <c r="G193" s="21" t="n">
        <f aca="false">E193*F193</f>
        <v>21702.14</v>
      </c>
      <c r="H193" s="85" t="s">
        <v>112</v>
      </c>
      <c r="I193" s="85" t="s">
        <v>104</v>
      </c>
      <c r="J193" s="85" t="s">
        <v>541</v>
      </c>
      <c r="K193" s="86" t="n">
        <f aca="false">$K$190</f>
        <v>0.16272</v>
      </c>
      <c r="L193" s="86" t="n">
        <f aca="false">E193*K193</f>
        <v>0.020144736</v>
      </c>
    </row>
    <row r="194" customFormat="false" ht="15" hidden="false" customHeight="true" outlineLevel="0" collapsed="false">
      <c r="A194" s="24"/>
      <c r="B194" s="20" t="s">
        <v>502</v>
      </c>
      <c r="C194" s="37" t="s">
        <v>503</v>
      </c>
      <c r="D194" s="37" t="s">
        <v>540</v>
      </c>
      <c r="E194" s="84" t="n">
        <v>0.4894</v>
      </c>
      <c r="F194" s="21" t="n">
        <f aca="false">INDEX('Perhitungan Upah'!$C$5:$C$13,MATCH(C194,'Perhitungan Upah'!$B$5:$B$13,0))</f>
        <v>198900</v>
      </c>
      <c r="G194" s="21" t="n">
        <f aca="false">E194*F194</f>
        <v>97341.66</v>
      </c>
      <c r="H194" s="85" t="s">
        <v>112</v>
      </c>
      <c r="I194" s="85" t="s">
        <v>104</v>
      </c>
      <c r="J194" s="85" t="s">
        <v>541</v>
      </c>
      <c r="K194" s="86" t="n">
        <f aca="false">$K$190</f>
        <v>0.16272</v>
      </c>
      <c r="L194" s="86" t="n">
        <f aca="false">E194*K194</f>
        <v>0.079635168</v>
      </c>
    </row>
    <row r="195" customFormat="false" ht="15" hidden="false" customHeight="true" outlineLevel="0" collapsed="false">
      <c r="A195" s="24"/>
      <c r="B195" s="20" t="s">
        <v>504</v>
      </c>
      <c r="C195" s="37" t="s">
        <v>505</v>
      </c>
      <c r="D195" s="37" t="s">
        <v>540</v>
      </c>
      <c r="E195" s="84" t="n">
        <v>0.4689</v>
      </c>
      <c r="F195" s="21" t="n">
        <f aca="false">INDEX('Perhitungan Upah'!$C$5:$C$13,MATCH(C195,'Perhitungan Upah'!$B$5:$B$13,0))</f>
        <v>228300</v>
      </c>
      <c r="G195" s="21" t="n">
        <f aca="false">E195*F195</f>
        <v>107049.87</v>
      </c>
      <c r="H195" s="85" t="s">
        <v>112</v>
      </c>
      <c r="I195" s="85" t="s">
        <v>104</v>
      </c>
      <c r="J195" s="85" t="s">
        <v>541</v>
      </c>
      <c r="K195" s="86" t="n">
        <f aca="false">$K$190</f>
        <v>0.16272</v>
      </c>
      <c r="L195" s="86" t="n">
        <f aca="false">E195*K195</f>
        <v>0.076299408</v>
      </c>
    </row>
    <row r="196" customFormat="false" ht="15" hidden="false" customHeight="true" outlineLevel="0" collapsed="false">
      <c r="A196" s="24"/>
      <c r="B196" s="20" t="s">
        <v>494</v>
      </c>
      <c r="C196" s="37" t="s">
        <v>495</v>
      </c>
      <c r="D196" s="37" t="s">
        <v>540</v>
      </c>
      <c r="E196" s="84" t="n">
        <v>1.0556</v>
      </c>
      <c r="F196" s="21" t="n">
        <f aca="false">INDEX('Perhitungan Upah'!$C$5:$C$13,MATCH(C196,'Perhitungan Upah'!$B$5:$B$13,0))</f>
        <v>174700</v>
      </c>
      <c r="G196" s="21" t="n">
        <f aca="false">E196*F196</f>
        <v>184413.32</v>
      </c>
      <c r="H196" s="85" t="s">
        <v>112</v>
      </c>
      <c r="I196" s="85" t="s">
        <v>104</v>
      </c>
      <c r="J196" s="85" t="s">
        <v>541</v>
      </c>
      <c r="K196" s="86" t="n">
        <f aca="false">$K$190</f>
        <v>0.16272</v>
      </c>
      <c r="L196" s="86" t="n">
        <f aca="false">E196*K196</f>
        <v>0.171767232</v>
      </c>
    </row>
    <row r="197" customFormat="false" ht="15" hidden="false" customHeight="true" outlineLevel="0" collapsed="false">
      <c r="A197" s="24"/>
      <c r="B197" s="20" t="s">
        <v>492</v>
      </c>
      <c r="C197" s="37" t="s">
        <v>493</v>
      </c>
      <c r="D197" s="37" t="s">
        <v>540</v>
      </c>
      <c r="E197" s="84" t="n">
        <v>3.7125</v>
      </c>
      <c r="F197" s="21" t="n">
        <f aca="false">INDEX('Perhitungan Upah'!$C$5:$C$13,MATCH(C197,'Perhitungan Upah'!$B$5:$B$13,0))</f>
        <v>174700</v>
      </c>
      <c r="G197" s="21" t="n">
        <f aca="false">E197*F197</f>
        <v>648573.75</v>
      </c>
      <c r="H197" s="85" t="s">
        <v>112</v>
      </c>
      <c r="I197" s="85" t="s">
        <v>104</v>
      </c>
      <c r="J197" s="85" t="s">
        <v>541</v>
      </c>
      <c r="K197" s="86" t="n">
        <f aca="false">$K$190</f>
        <v>0.16272</v>
      </c>
      <c r="L197" s="86" t="n">
        <f aca="false">E197*K197</f>
        <v>0.604098</v>
      </c>
    </row>
    <row r="198" customFormat="false" ht="15" hidden="false" customHeight="true" outlineLevel="0" collapsed="false">
      <c r="A198" s="87"/>
      <c r="B198" s="88" t="s">
        <v>542</v>
      </c>
      <c r="C198" s="87"/>
      <c r="D198" s="87"/>
      <c r="E198" s="87"/>
      <c r="F198" s="87"/>
      <c r="G198" s="89" t="n">
        <f aca="false">SUM(G192:G197)</f>
        <v>2262695.29</v>
      </c>
      <c r="H198" s="24"/>
      <c r="I198" s="24"/>
      <c r="J198" s="24"/>
      <c r="K198" s="24"/>
      <c r="L198" s="24"/>
    </row>
    <row r="199" customFormat="false" ht="15" hidden="false" customHeight="true" outlineLevel="0" collapsed="false">
      <c r="A199" s="83" t="s">
        <v>543</v>
      </c>
      <c r="B199" s="25" t="s">
        <v>544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</row>
    <row r="200" customFormat="false" ht="15" hidden="false" customHeight="true" outlineLevel="0" collapsed="false">
      <c r="A200" s="24"/>
      <c r="B200" s="20" t="s">
        <v>297</v>
      </c>
      <c r="C200" s="37" t="s">
        <v>296</v>
      </c>
      <c r="D200" s="37" t="s">
        <v>299</v>
      </c>
      <c r="E200" s="84" t="n">
        <v>342.3</v>
      </c>
      <c r="F200" s="21" t="n">
        <f aca="false">VLOOKUP(C200,'Perhitungan Bahan'!$A$5:$J$61,10,FALSE())</f>
        <v>1575</v>
      </c>
      <c r="G200" s="21" t="n">
        <f aca="false">E200*F200</f>
        <v>539122.5</v>
      </c>
      <c r="H200" s="85" t="s">
        <v>112</v>
      </c>
      <c r="I200" s="85" t="s">
        <v>104</v>
      </c>
      <c r="J200" s="85" t="s">
        <v>282</v>
      </c>
      <c r="K200" s="86" t="n">
        <f aca="false">$K$190</f>
        <v>0.16272</v>
      </c>
      <c r="L200" s="86" t="n">
        <f aca="false">E200*K200</f>
        <v>55.699056</v>
      </c>
    </row>
    <row r="201" customFormat="false" ht="15" hidden="false" customHeight="true" outlineLevel="0" collapsed="false">
      <c r="A201" s="24"/>
      <c r="B201" s="20" t="s">
        <v>309</v>
      </c>
      <c r="C201" s="37" t="s">
        <v>308</v>
      </c>
      <c r="D201" s="37" t="s">
        <v>93</v>
      </c>
      <c r="E201" s="84" t="n">
        <v>0.5973</v>
      </c>
      <c r="F201" s="21" t="n">
        <f aca="false">VLOOKUP(C201,'Perhitungan Bahan'!$A$5:$J$61,10,FALSE())</f>
        <v>379000</v>
      </c>
      <c r="G201" s="21" t="n">
        <f aca="false">E201*F201</f>
        <v>226376.7</v>
      </c>
      <c r="H201" s="85" t="s">
        <v>112</v>
      </c>
      <c r="I201" s="85" t="s">
        <v>104</v>
      </c>
      <c r="J201" s="85" t="s">
        <v>282</v>
      </c>
      <c r="K201" s="86" t="n">
        <f aca="false">$K$190</f>
        <v>0.16272</v>
      </c>
      <c r="L201" s="86" t="n">
        <f aca="false">E201*K201</f>
        <v>0.097192656</v>
      </c>
    </row>
    <row r="202" customFormat="false" ht="15" hidden="false" customHeight="true" outlineLevel="0" collapsed="false">
      <c r="A202" s="24"/>
      <c r="B202" s="20" t="s">
        <v>312</v>
      </c>
      <c r="C202" s="37" t="s">
        <v>311</v>
      </c>
      <c r="D202" s="37" t="s">
        <v>93</v>
      </c>
      <c r="E202" s="84" t="n">
        <v>0.8404</v>
      </c>
      <c r="F202" s="21" t="n">
        <f aca="false">VLOOKUP(C202,'Perhitungan Bahan'!$A$5:$J$61,10,FALSE())</f>
        <v>385900</v>
      </c>
      <c r="G202" s="21" t="n">
        <f aca="false">E202*F202</f>
        <v>324310.36</v>
      </c>
      <c r="H202" s="85" t="s">
        <v>112</v>
      </c>
      <c r="I202" s="85" t="s">
        <v>104</v>
      </c>
      <c r="J202" s="85" t="s">
        <v>282</v>
      </c>
      <c r="K202" s="86" t="n">
        <f aca="false">$K$190</f>
        <v>0.16272</v>
      </c>
      <c r="L202" s="86" t="n">
        <f aca="false">E202*K202</f>
        <v>0.136749888</v>
      </c>
    </row>
    <row r="203" customFormat="false" ht="15" hidden="false" customHeight="true" outlineLevel="0" collapsed="false">
      <c r="A203" s="24"/>
      <c r="B203" s="20" t="s">
        <v>325</v>
      </c>
      <c r="C203" s="37" t="s">
        <v>324</v>
      </c>
      <c r="D203" s="37" t="s">
        <v>299</v>
      </c>
      <c r="E203" s="84" t="n">
        <v>120.67</v>
      </c>
      <c r="F203" s="21" t="n">
        <f aca="false">VLOOKUP(C203,'Perhitungan Bahan'!$A$5:$J$61,10,FALSE())</f>
        <v>11350.2109704641</v>
      </c>
      <c r="G203" s="21" t="n">
        <f aca="false">E203*F203</f>
        <v>1369629.95780591</v>
      </c>
      <c r="H203" s="85" t="s">
        <v>112</v>
      </c>
      <c r="I203" s="85" t="s">
        <v>104</v>
      </c>
      <c r="J203" s="85" t="s">
        <v>282</v>
      </c>
      <c r="K203" s="86" t="n">
        <f aca="false">$K$190</f>
        <v>0.16272</v>
      </c>
      <c r="L203" s="86" t="n">
        <f aca="false">E203*K203</f>
        <v>19.6354224</v>
      </c>
    </row>
    <row r="204" customFormat="false" ht="15" hidden="false" customHeight="true" outlineLevel="0" collapsed="false">
      <c r="A204" s="24"/>
      <c r="B204" s="20" t="s">
        <v>328</v>
      </c>
      <c r="C204" s="37" t="s">
        <v>327</v>
      </c>
      <c r="D204" s="37" t="s">
        <v>299</v>
      </c>
      <c r="E204" s="84" t="n">
        <v>45.21</v>
      </c>
      <c r="F204" s="21" t="n">
        <f aca="false">VLOOKUP(C204,'Perhitungan Bahan'!$A$5:$J$61,10,FALSE())</f>
        <v>11315.7894736842</v>
      </c>
      <c r="G204" s="21" t="n">
        <f aca="false">E204*F204</f>
        <v>511586.842105263</v>
      </c>
      <c r="H204" s="85" t="s">
        <v>112</v>
      </c>
      <c r="I204" s="85" t="s">
        <v>104</v>
      </c>
      <c r="J204" s="85" t="s">
        <v>282</v>
      </c>
      <c r="K204" s="86" t="n">
        <f aca="false">$K$190</f>
        <v>0.16272</v>
      </c>
      <c r="L204" s="86" t="n">
        <f aca="false">E204*K204</f>
        <v>7.3565712</v>
      </c>
    </row>
    <row r="205" customFormat="false" ht="15" hidden="false" customHeight="true" outlineLevel="0" collapsed="false">
      <c r="A205" s="24"/>
      <c r="B205" s="20" t="s">
        <v>332</v>
      </c>
      <c r="C205" s="37" t="s">
        <v>331</v>
      </c>
      <c r="D205" s="37" t="s">
        <v>299</v>
      </c>
      <c r="E205" s="84" t="n">
        <v>2.262</v>
      </c>
      <c r="F205" s="21" t="n">
        <f aca="false">VLOOKUP(C205,'Perhitungan Bahan'!$A$5:$J$61,10,FALSE())</f>
        <v>26200</v>
      </c>
      <c r="G205" s="21" t="n">
        <f aca="false">E205*F205</f>
        <v>59264.4</v>
      </c>
      <c r="H205" s="85" t="s">
        <v>112</v>
      </c>
      <c r="I205" s="85" t="s">
        <v>104</v>
      </c>
      <c r="J205" s="85" t="s">
        <v>282</v>
      </c>
      <c r="K205" s="86" t="n">
        <f aca="false">$K$190</f>
        <v>0.16272</v>
      </c>
      <c r="L205" s="86" t="n">
        <f aca="false">E205*K205</f>
        <v>0.36807264</v>
      </c>
    </row>
    <row r="206" customFormat="false" ht="15" hidden="false" customHeight="true" outlineLevel="0" collapsed="false">
      <c r="A206" s="24"/>
      <c r="B206" s="20" t="s">
        <v>334</v>
      </c>
      <c r="C206" s="37" t="s">
        <v>333</v>
      </c>
      <c r="D206" s="37" t="s">
        <v>336</v>
      </c>
      <c r="E206" s="84" t="n">
        <v>2.1875</v>
      </c>
      <c r="F206" s="21" t="n">
        <f aca="false">VLOOKUP(C206,'Perhitungan Bahan'!$A$5:$J$61,10,FALSE())</f>
        <v>214200</v>
      </c>
      <c r="G206" s="21" t="n">
        <f aca="false">E206*F206</f>
        <v>468562.5</v>
      </c>
      <c r="H206" s="85" t="s">
        <v>112</v>
      </c>
      <c r="I206" s="85" t="s">
        <v>104</v>
      </c>
      <c r="J206" s="85" t="s">
        <v>282</v>
      </c>
      <c r="K206" s="86" t="n">
        <f aca="false">$K$190</f>
        <v>0.16272</v>
      </c>
      <c r="L206" s="86" t="n">
        <f aca="false">E206*K206</f>
        <v>0.35595</v>
      </c>
    </row>
    <row r="207" customFormat="false" ht="15" hidden="false" customHeight="true" outlineLevel="0" collapsed="false">
      <c r="A207" s="24"/>
      <c r="B207" s="20" t="s">
        <v>338</v>
      </c>
      <c r="C207" s="37" t="s">
        <v>337</v>
      </c>
      <c r="D207" s="37" t="s">
        <v>322</v>
      </c>
      <c r="E207" s="84" t="n">
        <v>24.55357</v>
      </c>
      <c r="F207" s="21" t="n">
        <f aca="false">VLOOKUP(C207,'Perhitungan Bahan'!$A$5:$J$61,10,FALSE())</f>
        <v>38000</v>
      </c>
      <c r="G207" s="21" t="n">
        <f aca="false">E207*F207</f>
        <v>933035.66</v>
      </c>
      <c r="H207" s="85" t="s">
        <v>112</v>
      </c>
      <c r="I207" s="85" t="s">
        <v>104</v>
      </c>
      <c r="J207" s="85" t="s">
        <v>282</v>
      </c>
      <c r="K207" s="86" t="n">
        <f aca="false">$K$190</f>
        <v>0.16272</v>
      </c>
      <c r="L207" s="86" t="n">
        <f aca="false">E207*K207</f>
        <v>3.9953569104</v>
      </c>
    </row>
    <row r="208" customFormat="false" ht="15" hidden="false" customHeight="true" outlineLevel="0" collapsed="false">
      <c r="A208" s="24"/>
      <c r="B208" s="20" t="s">
        <v>342</v>
      </c>
      <c r="C208" s="37" t="s">
        <v>341</v>
      </c>
      <c r="D208" s="37" t="s">
        <v>299</v>
      </c>
      <c r="E208" s="84" t="n">
        <v>2.5</v>
      </c>
      <c r="F208" s="21" t="n">
        <f aca="false">VLOOKUP(C208,'Perhitungan Bahan'!$A$5:$J$61,10,FALSE())</f>
        <v>24200</v>
      </c>
      <c r="G208" s="21" t="n">
        <f aca="false">E208*F208</f>
        <v>60500</v>
      </c>
      <c r="H208" s="85" t="s">
        <v>112</v>
      </c>
      <c r="I208" s="85" t="s">
        <v>104</v>
      </c>
      <c r="J208" s="85" t="s">
        <v>282</v>
      </c>
      <c r="K208" s="86" t="n">
        <f aca="false">$K$190</f>
        <v>0.16272</v>
      </c>
      <c r="L208" s="86" t="n">
        <f aca="false">E208*K208</f>
        <v>0.4068</v>
      </c>
    </row>
    <row r="209" customFormat="false" ht="15" hidden="false" customHeight="true" outlineLevel="0" collapsed="false">
      <c r="A209" s="24"/>
      <c r="B209" s="20" t="s">
        <v>344</v>
      </c>
      <c r="C209" s="37" t="s">
        <v>343</v>
      </c>
      <c r="D209" s="37" t="s">
        <v>345</v>
      </c>
      <c r="E209" s="84" t="n">
        <v>1.25</v>
      </c>
      <c r="F209" s="21" t="n">
        <f aca="false">VLOOKUP(C209,'Perhitungan Bahan'!$A$5:$J$61,10,FALSE())</f>
        <v>26400</v>
      </c>
      <c r="G209" s="21" t="n">
        <f aca="false">E209*F209</f>
        <v>33000</v>
      </c>
      <c r="H209" s="85" t="s">
        <v>112</v>
      </c>
      <c r="I209" s="85" t="s">
        <v>104</v>
      </c>
      <c r="J209" s="85" t="s">
        <v>282</v>
      </c>
      <c r="K209" s="86" t="n">
        <f aca="false">$K$190</f>
        <v>0.16272</v>
      </c>
      <c r="L209" s="86" t="n">
        <f aca="false">E209*K209</f>
        <v>0.2034</v>
      </c>
    </row>
    <row r="210" customFormat="false" ht="15" hidden="false" customHeight="true" outlineLevel="0" collapsed="false">
      <c r="A210" s="87"/>
      <c r="B210" s="88" t="s">
        <v>71</v>
      </c>
      <c r="C210" s="87"/>
      <c r="D210" s="87"/>
      <c r="E210" s="87"/>
      <c r="F210" s="87"/>
      <c r="G210" s="89" t="n">
        <f aca="false">SUM(G200:G209)</f>
        <v>4525388.91991117</v>
      </c>
      <c r="H210" s="24"/>
      <c r="I210" s="24"/>
      <c r="J210" s="24"/>
      <c r="K210" s="24"/>
      <c r="L210" s="24"/>
    </row>
    <row r="211" customFormat="false" ht="15" hidden="false" customHeight="true" outlineLevel="0" collapsed="false">
      <c r="A211" s="90" t="s">
        <v>545</v>
      </c>
      <c r="B211" s="91" t="s">
        <v>546</v>
      </c>
      <c r="C211" s="92"/>
      <c r="D211" s="92"/>
      <c r="E211" s="92"/>
      <c r="F211" s="92"/>
      <c r="G211" s="93" t="n">
        <f aca="false">G198+G210</f>
        <v>6788084.20991117</v>
      </c>
      <c r="H211" s="24"/>
      <c r="I211" s="24"/>
      <c r="J211" s="24"/>
      <c r="K211" s="24"/>
      <c r="L211" s="24"/>
    </row>
    <row r="212" customFormat="false" ht="15" hidden="false" customHeight="true" outlineLevel="0" collapsed="false">
      <c r="A212" s="37" t="s">
        <v>547</v>
      </c>
      <c r="B212" s="20" t="s">
        <v>548</v>
      </c>
      <c r="C212" s="24"/>
      <c r="D212" s="24"/>
      <c r="E212" s="94" t="n">
        <f aca="false">Parameter!$B$4</f>
        <v>0.15</v>
      </c>
      <c r="F212" s="24"/>
      <c r="G212" s="21" t="n">
        <f aca="false">G211*E212</f>
        <v>1018212.63148668</v>
      </c>
      <c r="H212" s="24"/>
      <c r="I212" s="24"/>
      <c r="J212" s="24"/>
      <c r="K212" s="24"/>
      <c r="L212" s="24"/>
    </row>
    <row r="213" customFormat="false" ht="15" hidden="false" customHeight="true" outlineLevel="0" collapsed="false">
      <c r="A213" s="95" t="s">
        <v>549</v>
      </c>
      <c r="B213" s="96" t="s">
        <v>550</v>
      </c>
      <c r="C213" s="97"/>
      <c r="D213" s="97"/>
      <c r="E213" s="97"/>
      <c r="F213" s="97"/>
      <c r="G213" s="98" t="n">
        <f aca="false">G211+G212</f>
        <v>7806296.84139785</v>
      </c>
      <c r="H213" s="24"/>
      <c r="I213" s="24"/>
      <c r="J213" s="24"/>
      <c r="K213" s="24"/>
      <c r="L213" s="24"/>
    </row>
    <row r="215" customFormat="false" ht="23.25" hidden="false" customHeight="true" outlineLevel="0" collapsed="false">
      <c r="A215" s="35" t="s">
        <v>114</v>
      </c>
      <c r="B215" s="35" t="s">
        <v>563</v>
      </c>
      <c r="C215" s="35"/>
      <c r="D215" s="35"/>
      <c r="E215" s="35"/>
      <c r="F215" s="35"/>
      <c r="G215" s="35"/>
      <c r="H215" s="35"/>
      <c r="I215" s="35"/>
      <c r="J215" s="81" t="s">
        <v>537</v>
      </c>
      <c r="K215" s="82" t="n">
        <f aca="false">Volume!$B$41</f>
        <v>0.199532253031935</v>
      </c>
      <c r="L215" s="35"/>
    </row>
    <row r="216" customFormat="false" ht="15" hidden="false" customHeight="true" outlineLevel="0" collapsed="false">
      <c r="A216" s="83" t="s">
        <v>538</v>
      </c>
      <c r="B216" s="25" t="s">
        <v>539</v>
      </c>
      <c r="C216" s="24"/>
      <c r="D216" s="24"/>
      <c r="E216" s="24"/>
      <c r="F216" s="24"/>
      <c r="G216" s="24"/>
      <c r="H216" s="24"/>
      <c r="I216" s="24"/>
      <c r="J216" s="24"/>
      <c r="K216" s="24"/>
      <c r="L216" s="24"/>
    </row>
    <row r="217" customFormat="false" ht="15" hidden="false" customHeight="true" outlineLevel="0" collapsed="false">
      <c r="A217" s="24"/>
      <c r="B217" s="20" t="s">
        <v>487</v>
      </c>
      <c r="C217" s="37" t="s">
        <v>488</v>
      </c>
      <c r="D217" s="37" t="s">
        <v>540</v>
      </c>
      <c r="E217" s="84" t="n">
        <v>6.758</v>
      </c>
      <c r="F217" s="21" t="n">
        <f aca="false">INDEX('Perhitungan Upah'!$C$5:$C$13,MATCH(C217,'Perhitungan Upah'!$B$5:$B$13,0))</f>
        <v>130500</v>
      </c>
      <c r="G217" s="21" t="n">
        <f aca="false">E217*F217</f>
        <v>881919</v>
      </c>
      <c r="H217" s="85" t="s">
        <v>114</v>
      </c>
      <c r="I217" s="85" t="s">
        <v>104</v>
      </c>
      <c r="J217" s="85" t="s">
        <v>541</v>
      </c>
      <c r="K217" s="86" t="n">
        <f aca="false">$K$215</f>
        <v>0.199532253031935</v>
      </c>
      <c r="L217" s="86" t="n">
        <f aca="false">E217*K217</f>
        <v>1.34843896598981</v>
      </c>
    </row>
    <row r="218" customFormat="false" ht="15" hidden="false" customHeight="true" outlineLevel="0" collapsed="false">
      <c r="A218" s="24"/>
      <c r="B218" s="20" t="s">
        <v>490</v>
      </c>
      <c r="C218" s="37" t="s">
        <v>491</v>
      </c>
      <c r="D218" s="37" t="s">
        <v>540</v>
      </c>
      <c r="E218" s="84" t="n">
        <v>0.1238</v>
      </c>
      <c r="F218" s="21" t="n">
        <f aca="false">INDEX('Perhitungan Upah'!$C$5:$C$13,MATCH(C218,'Perhitungan Upah'!$B$5:$B$13,0))</f>
        <v>175300</v>
      </c>
      <c r="G218" s="21" t="n">
        <f aca="false">E218*F218</f>
        <v>21702.14</v>
      </c>
      <c r="H218" s="85" t="s">
        <v>114</v>
      </c>
      <c r="I218" s="85" t="s">
        <v>104</v>
      </c>
      <c r="J218" s="85" t="s">
        <v>541</v>
      </c>
      <c r="K218" s="86" t="n">
        <f aca="false">$K$215</f>
        <v>0.199532253031935</v>
      </c>
      <c r="L218" s="86" t="n">
        <f aca="false">E218*K218</f>
        <v>0.0247020929253535</v>
      </c>
    </row>
    <row r="219" customFormat="false" ht="15" hidden="false" customHeight="true" outlineLevel="0" collapsed="false">
      <c r="A219" s="24"/>
      <c r="B219" s="20" t="s">
        <v>502</v>
      </c>
      <c r="C219" s="37" t="s">
        <v>503</v>
      </c>
      <c r="D219" s="37" t="s">
        <v>540</v>
      </c>
      <c r="E219" s="84" t="n">
        <v>0.3662</v>
      </c>
      <c r="F219" s="21" t="n">
        <f aca="false">INDEX('Perhitungan Upah'!$C$5:$C$13,MATCH(C219,'Perhitungan Upah'!$B$5:$B$13,0))</f>
        <v>198900</v>
      </c>
      <c r="G219" s="21" t="n">
        <f aca="false">E219*F219</f>
        <v>72837.18</v>
      </c>
      <c r="H219" s="85" t="s">
        <v>114</v>
      </c>
      <c r="I219" s="85" t="s">
        <v>104</v>
      </c>
      <c r="J219" s="85" t="s">
        <v>541</v>
      </c>
      <c r="K219" s="86" t="n">
        <f aca="false">$K$215</f>
        <v>0.199532253031935</v>
      </c>
      <c r="L219" s="86" t="n">
        <f aca="false">E219*K219</f>
        <v>0.0730687110602945</v>
      </c>
    </row>
    <row r="220" customFormat="false" ht="15" hidden="false" customHeight="true" outlineLevel="0" collapsed="false">
      <c r="A220" s="24"/>
      <c r="B220" s="20" t="s">
        <v>504</v>
      </c>
      <c r="C220" s="37" t="s">
        <v>505</v>
      </c>
      <c r="D220" s="37" t="s">
        <v>540</v>
      </c>
      <c r="E220" s="84" t="n">
        <v>0.3457</v>
      </c>
      <c r="F220" s="21" t="n">
        <f aca="false">INDEX('Perhitungan Upah'!$C$5:$C$13,MATCH(C220,'Perhitungan Upah'!$B$5:$B$13,0))</f>
        <v>228300</v>
      </c>
      <c r="G220" s="21" t="n">
        <f aca="false">E220*F220</f>
        <v>78923.31</v>
      </c>
      <c r="H220" s="85" t="s">
        <v>114</v>
      </c>
      <c r="I220" s="85" t="s">
        <v>104</v>
      </c>
      <c r="J220" s="85" t="s">
        <v>541</v>
      </c>
      <c r="K220" s="86" t="n">
        <f aca="false">$K$215</f>
        <v>0.199532253031935</v>
      </c>
      <c r="L220" s="86" t="n">
        <f aca="false">E220*K220</f>
        <v>0.0689782998731398</v>
      </c>
    </row>
    <row r="221" customFormat="false" ht="15" hidden="false" customHeight="true" outlineLevel="0" collapsed="false">
      <c r="A221" s="24"/>
      <c r="B221" s="20" t="s">
        <v>494</v>
      </c>
      <c r="C221" s="37" t="s">
        <v>495</v>
      </c>
      <c r="D221" s="37" t="s">
        <v>540</v>
      </c>
      <c r="E221" s="84" t="n">
        <v>1.0556</v>
      </c>
      <c r="F221" s="21" t="n">
        <f aca="false">INDEX('Perhitungan Upah'!$C$5:$C$13,MATCH(C221,'Perhitungan Upah'!$B$5:$B$13,0))</f>
        <v>174700</v>
      </c>
      <c r="G221" s="21" t="n">
        <f aca="false">E221*F221</f>
        <v>184413.32</v>
      </c>
      <c r="H221" s="85" t="s">
        <v>114</v>
      </c>
      <c r="I221" s="85" t="s">
        <v>104</v>
      </c>
      <c r="J221" s="85" t="s">
        <v>541</v>
      </c>
      <c r="K221" s="86" t="n">
        <f aca="false">$K$215</f>
        <v>0.199532253031935</v>
      </c>
      <c r="L221" s="86" t="n">
        <f aca="false">E221*K221</f>
        <v>0.21062624630051</v>
      </c>
    </row>
    <row r="222" customFormat="false" ht="15" hidden="false" customHeight="true" outlineLevel="0" collapsed="false">
      <c r="A222" s="24"/>
      <c r="B222" s="20" t="s">
        <v>492</v>
      </c>
      <c r="C222" s="37" t="s">
        <v>493</v>
      </c>
      <c r="D222" s="37" t="s">
        <v>540</v>
      </c>
      <c r="E222" s="84" t="n">
        <v>2.48</v>
      </c>
      <c r="F222" s="21" t="n">
        <f aca="false">INDEX('Perhitungan Upah'!$C$5:$C$13,MATCH(C222,'Perhitungan Upah'!$B$5:$B$13,0))</f>
        <v>174700</v>
      </c>
      <c r="G222" s="21" t="n">
        <f aca="false">E222*F222</f>
        <v>433256</v>
      </c>
      <c r="H222" s="85" t="s">
        <v>114</v>
      </c>
      <c r="I222" s="85" t="s">
        <v>104</v>
      </c>
      <c r="J222" s="85" t="s">
        <v>541</v>
      </c>
      <c r="K222" s="86" t="n">
        <f aca="false">$K$215</f>
        <v>0.199532253031935</v>
      </c>
      <c r="L222" s="86" t="n">
        <f aca="false">E222*K222</f>
        <v>0.494839987519198</v>
      </c>
    </row>
    <row r="223" customFormat="false" ht="15" hidden="false" customHeight="true" outlineLevel="0" collapsed="false">
      <c r="A223" s="87"/>
      <c r="B223" s="88" t="s">
        <v>542</v>
      </c>
      <c r="C223" s="87"/>
      <c r="D223" s="87"/>
      <c r="E223" s="87"/>
      <c r="F223" s="87"/>
      <c r="G223" s="89" t="n">
        <f aca="false">SUM(G217:G222)</f>
        <v>1673050.95</v>
      </c>
      <c r="H223" s="24"/>
      <c r="I223" s="24"/>
      <c r="J223" s="24"/>
      <c r="K223" s="24"/>
      <c r="L223" s="24"/>
    </row>
    <row r="224" customFormat="false" ht="15" hidden="false" customHeight="true" outlineLevel="0" collapsed="false">
      <c r="A224" s="83" t="s">
        <v>543</v>
      </c>
      <c r="B224" s="25" t="s">
        <v>544</v>
      </c>
      <c r="C224" s="24"/>
      <c r="D224" s="24"/>
      <c r="E224" s="24"/>
      <c r="F224" s="24"/>
      <c r="G224" s="24"/>
      <c r="H224" s="24"/>
      <c r="I224" s="24"/>
      <c r="J224" s="24"/>
      <c r="K224" s="24"/>
      <c r="L224" s="24"/>
    </row>
    <row r="225" customFormat="false" ht="15" hidden="false" customHeight="true" outlineLevel="0" collapsed="false">
      <c r="A225" s="24"/>
      <c r="B225" s="20" t="s">
        <v>297</v>
      </c>
      <c r="C225" s="37" t="s">
        <v>296</v>
      </c>
      <c r="D225" s="37" t="s">
        <v>299</v>
      </c>
      <c r="E225" s="84" t="n">
        <v>342.3</v>
      </c>
      <c r="F225" s="21" t="n">
        <f aca="false">VLOOKUP(C225,'Perhitungan Bahan'!$A$5:$J$61,10,FALSE())</f>
        <v>1575</v>
      </c>
      <c r="G225" s="21" t="n">
        <f aca="false">E225*F225</f>
        <v>539122.5</v>
      </c>
      <c r="H225" s="85" t="s">
        <v>114</v>
      </c>
      <c r="I225" s="85" t="s">
        <v>104</v>
      </c>
      <c r="J225" s="85" t="s">
        <v>282</v>
      </c>
      <c r="K225" s="86" t="n">
        <f aca="false">$K$215</f>
        <v>0.199532253031935</v>
      </c>
      <c r="L225" s="86" t="n">
        <f aca="false">E225*K225</f>
        <v>68.2998902128312</v>
      </c>
    </row>
    <row r="226" customFormat="false" ht="15" hidden="false" customHeight="true" outlineLevel="0" collapsed="false">
      <c r="A226" s="24"/>
      <c r="B226" s="20" t="s">
        <v>309</v>
      </c>
      <c r="C226" s="37" t="s">
        <v>308</v>
      </c>
      <c r="D226" s="37" t="s">
        <v>93</v>
      </c>
      <c r="E226" s="84" t="n">
        <v>0.5973</v>
      </c>
      <c r="F226" s="21" t="n">
        <f aca="false">VLOOKUP(C226,'Perhitungan Bahan'!$A$5:$J$61,10,FALSE())</f>
        <v>379000</v>
      </c>
      <c r="G226" s="21" t="n">
        <f aca="false">E226*F226</f>
        <v>226376.7</v>
      </c>
      <c r="H226" s="85" t="s">
        <v>114</v>
      </c>
      <c r="I226" s="85" t="s">
        <v>104</v>
      </c>
      <c r="J226" s="85" t="s">
        <v>282</v>
      </c>
      <c r="K226" s="86" t="n">
        <f aca="false">$K$215</f>
        <v>0.199532253031935</v>
      </c>
      <c r="L226" s="86" t="n">
        <f aca="false">E226*K226</f>
        <v>0.119180614735975</v>
      </c>
    </row>
    <row r="227" customFormat="false" ht="15" hidden="false" customHeight="true" outlineLevel="0" collapsed="false">
      <c r="A227" s="24"/>
      <c r="B227" s="20" t="s">
        <v>312</v>
      </c>
      <c r="C227" s="37" t="s">
        <v>311</v>
      </c>
      <c r="D227" s="37" t="s">
        <v>93</v>
      </c>
      <c r="E227" s="84" t="n">
        <v>0.8404</v>
      </c>
      <c r="F227" s="21" t="n">
        <f aca="false">VLOOKUP(C227,'Perhitungan Bahan'!$A$5:$J$61,10,FALSE())</f>
        <v>385900</v>
      </c>
      <c r="G227" s="21" t="n">
        <f aca="false">E227*F227</f>
        <v>324310.36</v>
      </c>
      <c r="H227" s="85" t="s">
        <v>114</v>
      </c>
      <c r="I227" s="85" t="s">
        <v>104</v>
      </c>
      <c r="J227" s="85" t="s">
        <v>282</v>
      </c>
      <c r="K227" s="86" t="n">
        <f aca="false">$K$215</f>
        <v>0.199532253031935</v>
      </c>
      <c r="L227" s="86" t="n">
        <f aca="false">E227*K227</f>
        <v>0.167686905448038</v>
      </c>
    </row>
    <row r="228" customFormat="false" ht="15" hidden="false" customHeight="true" outlineLevel="0" collapsed="false">
      <c r="A228" s="24"/>
      <c r="B228" s="20" t="s">
        <v>325</v>
      </c>
      <c r="C228" s="37" t="s">
        <v>324</v>
      </c>
      <c r="D228" s="37" t="s">
        <v>299</v>
      </c>
      <c r="E228" s="84" t="n">
        <v>120.67</v>
      </c>
      <c r="F228" s="21" t="n">
        <f aca="false">VLOOKUP(C228,'Perhitungan Bahan'!$A$5:$J$61,10,FALSE())</f>
        <v>11350.2109704641</v>
      </c>
      <c r="G228" s="21" t="n">
        <f aca="false">E228*F228</f>
        <v>1369629.95780591</v>
      </c>
      <c r="H228" s="85" t="s">
        <v>114</v>
      </c>
      <c r="I228" s="85" t="s">
        <v>104</v>
      </c>
      <c r="J228" s="85" t="s">
        <v>282</v>
      </c>
      <c r="K228" s="86" t="n">
        <f aca="false">$K$215</f>
        <v>0.199532253031935</v>
      </c>
      <c r="L228" s="86" t="n">
        <f aca="false">E228*K228</f>
        <v>24.0775569733636</v>
      </c>
    </row>
    <row r="229" customFormat="false" ht="15" hidden="false" customHeight="true" outlineLevel="0" collapsed="false">
      <c r="A229" s="24"/>
      <c r="B229" s="20" t="s">
        <v>328</v>
      </c>
      <c r="C229" s="37" t="s">
        <v>327</v>
      </c>
      <c r="D229" s="37" t="s">
        <v>299</v>
      </c>
      <c r="E229" s="84" t="n">
        <v>45.21</v>
      </c>
      <c r="F229" s="21" t="n">
        <f aca="false">VLOOKUP(C229,'Perhitungan Bahan'!$A$5:$J$61,10,FALSE())</f>
        <v>11315.7894736842</v>
      </c>
      <c r="G229" s="21" t="n">
        <f aca="false">E229*F229</f>
        <v>511586.842105263</v>
      </c>
      <c r="H229" s="85" t="s">
        <v>114</v>
      </c>
      <c r="I229" s="85" t="s">
        <v>104</v>
      </c>
      <c r="J229" s="85" t="s">
        <v>282</v>
      </c>
      <c r="K229" s="86" t="n">
        <f aca="false">$K$215</f>
        <v>0.199532253031935</v>
      </c>
      <c r="L229" s="86" t="n">
        <f aca="false">E229*K229</f>
        <v>9.02085315957377</v>
      </c>
    </row>
    <row r="230" customFormat="false" ht="15" hidden="false" customHeight="true" outlineLevel="0" collapsed="false">
      <c r="A230" s="24"/>
      <c r="B230" s="20" t="s">
        <v>332</v>
      </c>
      <c r="C230" s="37" t="s">
        <v>331</v>
      </c>
      <c r="D230" s="37" t="s">
        <v>299</v>
      </c>
      <c r="E230" s="84" t="n">
        <v>2.262</v>
      </c>
      <c r="F230" s="21" t="n">
        <f aca="false">VLOOKUP(C230,'Perhitungan Bahan'!$A$5:$J$61,10,FALSE())</f>
        <v>26200</v>
      </c>
      <c r="G230" s="21" t="n">
        <f aca="false">E230*F230</f>
        <v>59264.4</v>
      </c>
      <c r="H230" s="85" t="s">
        <v>114</v>
      </c>
      <c r="I230" s="85" t="s">
        <v>104</v>
      </c>
      <c r="J230" s="85" t="s">
        <v>282</v>
      </c>
      <c r="K230" s="86" t="n">
        <f aca="false">$K$215</f>
        <v>0.199532253031935</v>
      </c>
      <c r="L230" s="86" t="n">
        <f aca="false">E230*K230</f>
        <v>0.451341956358236</v>
      </c>
    </row>
    <row r="231" customFormat="false" ht="15" hidden="false" customHeight="true" outlineLevel="0" collapsed="false">
      <c r="A231" s="24"/>
      <c r="B231" s="20" t="s">
        <v>334</v>
      </c>
      <c r="C231" s="37" t="s">
        <v>333</v>
      </c>
      <c r="D231" s="37" t="s">
        <v>336</v>
      </c>
      <c r="E231" s="84" t="n">
        <v>1.46125</v>
      </c>
      <c r="F231" s="21" t="n">
        <f aca="false">VLOOKUP(C231,'Perhitungan Bahan'!$A$5:$J$61,10,FALSE())</f>
        <v>214200</v>
      </c>
      <c r="G231" s="21" t="n">
        <f aca="false">E231*F231</f>
        <v>312999.75</v>
      </c>
      <c r="H231" s="85" t="s">
        <v>114</v>
      </c>
      <c r="I231" s="85" t="s">
        <v>104</v>
      </c>
      <c r="J231" s="85" t="s">
        <v>282</v>
      </c>
      <c r="K231" s="86" t="n">
        <f aca="false">$K$215</f>
        <v>0.199532253031935</v>
      </c>
      <c r="L231" s="86" t="n">
        <f aca="false">E231*K231</f>
        <v>0.291566504742914</v>
      </c>
    </row>
    <row r="232" customFormat="false" ht="15" hidden="false" customHeight="true" outlineLevel="0" collapsed="false">
      <c r="A232" s="24"/>
      <c r="B232" s="20" t="s">
        <v>338</v>
      </c>
      <c r="C232" s="37" t="s">
        <v>337</v>
      </c>
      <c r="D232" s="37" t="s">
        <v>322</v>
      </c>
      <c r="E232" s="84" t="n">
        <v>16.40179</v>
      </c>
      <c r="F232" s="21" t="n">
        <f aca="false">VLOOKUP(C232,'Perhitungan Bahan'!$A$5:$J$61,10,FALSE())</f>
        <v>38000</v>
      </c>
      <c r="G232" s="21" t="n">
        <f aca="false">E232*F232</f>
        <v>623268.02</v>
      </c>
      <c r="H232" s="85" t="s">
        <v>114</v>
      </c>
      <c r="I232" s="85" t="s">
        <v>104</v>
      </c>
      <c r="J232" s="85" t="s">
        <v>282</v>
      </c>
      <c r="K232" s="86" t="n">
        <f aca="false">$K$215</f>
        <v>0.199532253031935</v>
      </c>
      <c r="L232" s="86" t="n">
        <f aca="false">E232*K232</f>
        <v>3.27268611245666</v>
      </c>
    </row>
    <row r="233" customFormat="false" ht="15" hidden="false" customHeight="true" outlineLevel="0" collapsed="false">
      <c r="A233" s="24"/>
      <c r="B233" s="20" t="s">
        <v>342</v>
      </c>
      <c r="C233" s="37" t="s">
        <v>341</v>
      </c>
      <c r="D233" s="37" t="s">
        <v>299</v>
      </c>
      <c r="E233" s="84" t="n">
        <v>1.67</v>
      </c>
      <c r="F233" s="21" t="n">
        <f aca="false">VLOOKUP(C233,'Perhitungan Bahan'!$A$5:$J$61,10,FALSE())</f>
        <v>24200</v>
      </c>
      <c r="G233" s="21" t="n">
        <f aca="false">E233*F233</f>
        <v>40414</v>
      </c>
      <c r="H233" s="85" t="s">
        <v>114</v>
      </c>
      <c r="I233" s="85" t="s">
        <v>104</v>
      </c>
      <c r="J233" s="85" t="s">
        <v>282</v>
      </c>
      <c r="K233" s="86" t="n">
        <f aca="false">$K$215</f>
        <v>0.199532253031935</v>
      </c>
      <c r="L233" s="86" t="n">
        <f aca="false">E233*K233</f>
        <v>0.333218862563331</v>
      </c>
    </row>
    <row r="234" customFormat="false" ht="15" hidden="false" customHeight="true" outlineLevel="0" collapsed="false">
      <c r="A234" s="24"/>
      <c r="B234" s="20" t="s">
        <v>344</v>
      </c>
      <c r="C234" s="37" t="s">
        <v>343</v>
      </c>
      <c r="D234" s="37" t="s">
        <v>345</v>
      </c>
      <c r="E234" s="84" t="n">
        <v>0.835</v>
      </c>
      <c r="F234" s="21" t="n">
        <f aca="false">VLOOKUP(C234,'Perhitungan Bahan'!$A$5:$J$61,10,FALSE())</f>
        <v>26400</v>
      </c>
      <c r="G234" s="21" t="n">
        <f aca="false">E234*F234</f>
        <v>22044</v>
      </c>
      <c r="H234" s="85" t="s">
        <v>114</v>
      </c>
      <c r="I234" s="85" t="s">
        <v>104</v>
      </c>
      <c r="J234" s="85" t="s">
        <v>282</v>
      </c>
      <c r="K234" s="86" t="n">
        <f aca="false">$K$215</f>
        <v>0.199532253031935</v>
      </c>
      <c r="L234" s="86" t="n">
        <f aca="false">E234*K234</f>
        <v>0.166609431281665</v>
      </c>
    </row>
    <row r="235" customFormat="false" ht="15" hidden="false" customHeight="true" outlineLevel="0" collapsed="false">
      <c r="A235" s="87"/>
      <c r="B235" s="88" t="s">
        <v>71</v>
      </c>
      <c r="C235" s="87"/>
      <c r="D235" s="87"/>
      <c r="E235" s="87"/>
      <c r="F235" s="87"/>
      <c r="G235" s="89" t="n">
        <f aca="false">SUM(G225:G234)</f>
        <v>4029016.52991117</v>
      </c>
      <c r="H235" s="24"/>
      <c r="I235" s="24"/>
      <c r="J235" s="24"/>
      <c r="K235" s="24"/>
      <c r="L235" s="24"/>
    </row>
    <row r="236" customFormat="false" ht="15" hidden="false" customHeight="true" outlineLevel="0" collapsed="false">
      <c r="A236" s="90" t="s">
        <v>545</v>
      </c>
      <c r="B236" s="91" t="s">
        <v>546</v>
      </c>
      <c r="C236" s="92"/>
      <c r="D236" s="92"/>
      <c r="E236" s="92"/>
      <c r="F236" s="92"/>
      <c r="G236" s="93" t="n">
        <f aca="false">G223+G235</f>
        <v>5702067.47991117</v>
      </c>
      <c r="H236" s="24"/>
      <c r="I236" s="24"/>
      <c r="J236" s="24"/>
      <c r="K236" s="24"/>
      <c r="L236" s="24"/>
    </row>
    <row r="237" customFormat="false" ht="15" hidden="false" customHeight="true" outlineLevel="0" collapsed="false">
      <c r="A237" s="37" t="s">
        <v>547</v>
      </c>
      <c r="B237" s="20" t="s">
        <v>548</v>
      </c>
      <c r="C237" s="24"/>
      <c r="D237" s="24"/>
      <c r="E237" s="94" t="n">
        <f aca="false">Parameter!$B$4</f>
        <v>0.15</v>
      </c>
      <c r="F237" s="24"/>
      <c r="G237" s="21" t="n">
        <f aca="false">G236*E237</f>
        <v>855310.121986675</v>
      </c>
      <c r="H237" s="24"/>
      <c r="I237" s="24"/>
      <c r="J237" s="24"/>
      <c r="K237" s="24"/>
      <c r="L237" s="24"/>
    </row>
    <row r="238" customFormat="false" ht="15" hidden="false" customHeight="true" outlineLevel="0" collapsed="false">
      <c r="A238" s="95" t="s">
        <v>549</v>
      </c>
      <c r="B238" s="96" t="s">
        <v>550</v>
      </c>
      <c r="C238" s="97"/>
      <c r="D238" s="97"/>
      <c r="E238" s="97"/>
      <c r="F238" s="97"/>
      <c r="G238" s="98" t="n">
        <f aca="false">G236+G237</f>
        <v>6557377.60189785</v>
      </c>
      <c r="H238" s="24"/>
      <c r="I238" s="24"/>
      <c r="J238" s="24"/>
      <c r="K238" s="24"/>
      <c r="L238" s="24"/>
    </row>
    <row r="240" customFormat="false" ht="23.25" hidden="false" customHeight="true" outlineLevel="0" collapsed="false">
      <c r="A240" s="35" t="s">
        <v>118</v>
      </c>
      <c r="B240" s="35" t="s">
        <v>564</v>
      </c>
      <c r="C240" s="35"/>
      <c r="D240" s="35"/>
      <c r="E240" s="35"/>
      <c r="F240" s="35"/>
      <c r="G240" s="35"/>
      <c r="H240" s="35"/>
      <c r="I240" s="35"/>
      <c r="J240" s="81" t="s">
        <v>537</v>
      </c>
      <c r="K240" s="82" t="n">
        <f aca="false">Volume!$B$27</f>
        <v>106.502304845413</v>
      </c>
      <c r="L240" s="35"/>
    </row>
    <row r="241" customFormat="false" ht="15" hidden="false" customHeight="true" outlineLevel="0" collapsed="false">
      <c r="A241" s="83" t="s">
        <v>538</v>
      </c>
      <c r="B241" s="25" t="s">
        <v>539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</row>
    <row r="242" customFormat="false" ht="15" hidden="false" customHeight="true" outlineLevel="0" collapsed="false">
      <c r="A242" s="24"/>
      <c r="B242" s="20" t="s">
        <v>487</v>
      </c>
      <c r="C242" s="37" t="s">
        <v>488</v>
      </c>
      <c r="D242" s="37" t="s">
        <v>540</v>
      </c>
      <c r="E242" s="84" t="n">
        <v>0.18</v>
      </c>
      <c r="F242" s="21" t="n">
        <f aca="false">INDEX('Perhitungan Upah'!$C$5:$C$13,MATCH(C242,'Perhitungan Upah'!$B$5:$B$13,0))</f>
        <v>130500</v>
      </c>
      <c r="G242" s="21" t="n">
        <f aca="false">E242*F242</f>
        <v>23490</v>
      </c>
      <c r="H242" s="85" t="s">
        <v>118</v>
      </c>
      <c r="I242" s="85" t="s">
        <v>116</v>
      </c>
      <c r="J242" s="85" t="s">
        <v>541</v>
      </c>
      <c r="K242" s="86" t="n">
        <f aca="false">$K$240</f>
        <v>106.502304845413</v>
      </c>
      <c r="L242" s="86" t="n">
        <f aca="false">E242*K242</f>
        <v>19.1704148721744</v>
      </c>
    </row>
    <row r="243" customFormat="false" ht="15" hidden="false" customHeight="true" outlineLevel="0" collapsed="false">
      <c r="A243" s="24"/>
      <c r="B243" s="20" t="s">
        <v>490</v>
      </c>
      <c r="C243" s="37" t="s">
        <v>491</v>
      </c>
      <c r="D243" s="37" t="s">
        <v>540</v>
      </c>
      <c r="E243" s="84" t="n">
        <v>0.06</v>
      </c>
      <c r="F243" s="21" t="n">
        <f aca="false">INDEX('Perhitungan Upah'!$C$5:$C$13,MATCH(C243,'Perhitungan Upah'!$B$5:$B$13,0))</f>
        <v>175300</v>
      </c>
      <c r="G243" s="21" t="n">
        <f aca="false">E243*F243</f>
        <v>10518</v>
      </c>
      <c r="H243" s="85" t="s">
        <v>118</v>
      </c>
      <c r="I243" s="85" t="s">
        <v>116</v>
      </c>
      <c r="J243" s="85" t="s">
        <v>541</v>
      </c>
      <c r="K243" s="86" t="n">
        <f aca="false">$K$240</f>
        <v>106.502304845413</v>
      </c>
      <c r="L243" s="86" t="n">
        <f aca="false">E243*K243</f>
        <v>6.3901382907248</v>
      </c>
    </row>
    <row r="244" customFormat="false" ht="15" hidden="false" customHeight="true" outlineLevel="0" collapsed="false">
      <c r="A244" s="24"/>
      <c r="B244" s="20" t="s">
        <v>502</v>
      </c>
      <c r="C244" s="37" t="s">
        <v>503</v>
      </c>
      <c r="D244" s="37" t="s">
        <v>540</v>
      </c>
      <c r="E244" s="84" t="n">
        <v>0.006</v>
      </c>
      <c r="F244" s="21" t="n">
        <f aca="false">INDEX('Perhitungan Upah'!$C$5:$C$13,MATCH(C244,'Perhitungan Upah'!$B$5:$B$13,0))</f>
        <v>198900</v>
      </c>
      <c r="G244" s="21" t="n">
        <f aca="false">E244*F244</f>
        <v>1193.4</v>
      </c>
      <c r="H244" s="85" t="s">
        <v>118</v>
      </c>
      <c r="I244" s="85" t="s">
        <v>116</v>
      </c>
      <c r="J244" s="85" t="s">
        <v>541</v>
      </c>
      <c r="K244" s="86" t="n">
        <f aca="false">$K$240</f>
        <v>106.502304845413</v>
      </c>
      <c r="L244" s="86" t="n">
        <f aca="false">E244*K244</f>
        <v>0.63901382907248</v>
      </c>
    </row>
    <row r="245" customFormat="false" ht="15" hidden="false" customHeight="true" outlineLevel="0" collapsed="false">
      <c r="A245" s="24"/>
      <c r="B245" s="20" t="s">
        <v>504</v>
      </c>
      <c r="C245" s="37" t="s">
        <v>505</v>
      </c>
      <c r="D245" s="37" t="s">
        <v>540</v>
      </c>
      <c r="E245" s="84" t="n">
        <v>0.009</v>
      </c>
      <c r="F245" s="21" t="n">
        <f aca="false">INDEX('Perhitungan Upah'!$C$5:$C$13,MATCH(C245,'Perhitungan Upah'!$B$5:$B$13,0))</f>
        <v>228300</v>
      </c>
      <c r="G245" s="21" t="n">
        <f aca="false">E245*F245</f>
        <v>2054.7</v>
      </c>
      <c r="H245" s="85" t="s">
        <v>118</v>
      </c>
      <c r="I245" s="85" t="s">
        <v>116</v>
      </c>
      <c r="J245" s="85" t="s">
        <v>541</v>
      </c>
      <c r="K245" s="86" t="n">
        <f aca="false">$K$240</f>
        <v>106.502304845413</v>
      </c>
      <c r="L245" s="86" t="n">
        <f aca="false">E245*K245</f>
        <v>0.958520743608719</v>
      </c>
    </row>
    <row r="246" customFormat="false" ht="15" hidden="false" customHeight="true" outlineLevel="0" collapsed="false">
      <c r="A246" s="87"/>
      <c r="B246" s="88" t="s">
        <v>542</v>
      </c>
      <c r="C246" s="87"/>
      <c r="D246" s="87"/>
      <c r="E246" s="87"/>
      <c r="F246" s="87"/>
      <c r="G246" s="89" t="n">
        <f aca="false">SUM(G242:G245)</f>
        <v>37256.1</v>
      </c>
      <c r="H246" s="24"/>
      <c r="I246" s="24"/>
      <c r="J246" s="24"/>
      <c r="K246" s="24"/>
      <c r="L246" s="24"/>
    </row>
    <row r="247" customFormat="false" ht="15" hidden="false" customHeight="true" outlineLevel="0" collapsed="false">
      <c r="A247" s="83" t="s">
        <v>543</v>
      </c>
      <c r="B247" s="25" t="s">
        <v>544</v>
      </c>
      <c r="C247" s="24"/>
      <c r="D247" s="24"/>
      <c r="E247" s="24"/>
      <c r="F247" s="24"/>
      <c r="G247" s="24"/>
      <c r="H247" s="24"/>
      <c r="I247" s="24"/>
      <c r="J247" s="24"/>
      <c r="K247" s="24"/>
      <c r="L247" s="24"/>
    </row>
    <row r="248" customFormat="false" ht="15" hidden="false" customHeight="true" outlineLevel="0" collapsed="false">
      <c r="A248" s="24"/>
      <c r="B248" s="20" t="s">
        <v>347</v>
      </c>
      <c r="C248" s="37" t="s">
        <v>346</v>
      </c>
      <c r="D248" s="37" t="s">
        <v>181</v>
      </c>
      <c r="E248" s="84" t="n">
        <v>8.97645</v>
      </c>
      <c r="F248" s="21" t="n">
        <f aca="false">VLOOKUP(C248,'Perhitungan Bahan'!$A$5:$J$61,10,FALSE())</f>
        <v>9820</v>
      </c>
      <c r="G248" s="21" t="n">
        <f aca="false">E248*F248</f>
        <v>88148.739</v>
      </c>
      <c r="H248" s="85" t="s">
        <v>118</v>
      </c>
      <c r="I248" s="85" t="s">
        <v>116</v>
      </c>
      <c r="J248" s="85" t="s">
        <v>282</v>
      </c>
      <c r="K248" s="86" t="n">
        <f aca="false">$K$240</f>
        <v>106.502304845413</v>
      </c>
      <c r="L248" s="86" t="n">
        <f aca="false">E248*K248</f>
        <v>956.01261432961</v>
      </c>
    </row>
    <row r="249" customFormat="false" ht="15" hidden="false" customHeight="true" outlineLevel="0" collapsed="false">
      <c r="A249" s="24"/>
      <c r="B249" s="20" t="s">
        <v>351</v>
      </c>
      <c r="C249" s="37" t="s">
        <v>350</v>
      </c>
      <c r="D249" s="37" t="s">
        <v>299</v>
      </c>
      <c r="E249" s="84" t="n">
        <v>7.875</v>
      </c>
      <c r="F249" s="21" t="n">
        <f aca="false">VLOOKUP(C249,'Perhitungan Bahan'!$A$5:$J$61,10,FALSE())</f>
        <v>2175</v>
      </c>
      <c r="G249" s="21" t="n">
        <f aca="false">E249*F249</f>
        <v>17128.125</v>
      </c>
      <c r="H249" s="85" t="s">
        <v>118</v>
      </c>
      <c r="I249" s="85" t="s">
        <v>116</v>
      </c>
      <c r="J249" s="85" t="s">
        <v>282</v>
      </c>
      <c r="K249" s="86" t="n">
        <f aca="false">$K$240</f>
        <v>106.502304845413</v>
      </c>
      <c r="L249" s="86" t="n">
        <f aca="false">E249*K249</f>
        <v>838.70565065763</v>
      </c>
    </row>
    <row r="250" customFormat="false" ht="15" hidden="false" customHeight="true" outlineLevel="0" collapsed="false">
      <c r="A250" s="87"/>
      <c r="B250" s="88" t="s">
        <v>71</v>
      </c>
      <c r="C250" s="87"/>
      <c r="D250" s="87"/>
      <c r="E250" s="87"/>
      <c r="F250" s="87"/>
      <c r="G250" s="89" t="n">
        <f aca="false">SUM(G248:G249)</f>
        <v>105276.864</v>
      </c>
      <c r="H250" s="24"/>
      <c r="I250" s="24"/>
      <c r="J250" s="24"/>
      <c r="K250" s="24"/>
      <c r="L250" s="24"/>
    </row>
    <row r="251" customFormat="false" ht="15" hidden="false" customHeight="true" outlineLevel="0" collapsed="false">
      <c r="A251" s="90" t="s">
        <v>545</v>
      </c>
      <c r="B251" s="91" t="s">
        <v>546</v>
      </c>
      <c r="C251" s="92"/>
      <c r="D251" s="92"/>
      <c r="E251" s="92"/>
      <c r="F251" s="92"/>
      <c r="G251" s="93" t="n">
        <f aca="false">G246+G250</f>
        <v>142532.964</v>
      </c>
      <c r="H251" s="24"/>
      <c r="I251" s="24"/>
      <c r="J251" s="24"/>
      <c r="K251" s="24"/>
      <c r="L251" s="24"/>
    </row>
    <row r="252" customFormat="false" ht="15" hidden="false" customHeight="true" outlineLevel="0" collapsed="false">
      <c r="A252" s="37" t="s">
        <v>547</v>
      </c>
      <c r="B252" s="20" t="s">
        <v>548</v>
      </c>
      <c r="C252" s="24"/>
      <c r="D252" s="24"/>
      <c r="E252" s="94" t="n">
        <f aca="false">Parameter!$B$4</f>
        <v>0.15</v>
      </c>
      <c r="F252" s="24"/>
      <c r="G252" s="21" t="n">
        <f aca="false">G251*E252</f>
        <v>21379.9446</v>
      </c>
      <c r="H252" s="24"/>
      <c r="I252" s="24"/>
      <c r="J252" s="24"/>
      <c r="K252" s="24"/>
      <c r="L252" s="24"/>
    </row>
    <row r="253" customFormat="false" ht="15" hidden="false" customHeight="true" outlineLevel="0" collapsed="false">
      <c r="A253" s="95" t="s">
        <v>549</v>
      </c>
      <c r="B253" s="96" t="s">
        <v>550</v>
      </c>
      <c r="C253" s="97"/>
      <c r="D253" s="97"/>
      <c r="E253" s="97"/>
      <c r="F253" s="97"/>
      <c r="G253" s="98" t="n">
        <f aca="false">G251+G252</f>
        <v>163912.9086</v>
      </c>
      <c r="H253" s="24"/>
      <c r="I253" s="24"/>
      <c r="J253" s="24"/>
      <c r="K253" s="24"/>
      <c r="L253" s="24"/>
    </row>
    <row r="255" customFormat="false" ht="23.25" hidden="false" customHeight="true" outlineLevel="0" collapsed="false">
      <c r="A255" s="35" t="s">
        <v>120</v>
      </c>
      <c r="B255" s="35" t="s">
        <v>565</v>
      </c>
      <c r="C255" s="35"/>
      <c r="D255" s="35"/>
      <c r="E255" s="35"/>
      <c r="F255" s="35"/>
      <c r="G255" s="35"/>
      <c r="H255" s="35"/>
      <c r="I255" s="35"/>
      <c r="J255" s="81" t="s">
        <v>537</v>
      </c>
      <c r="K255" s="82" t="n">
        <f aca="false">Volume!$B$28</f>
        <v>202.612304845413</v>
      </c>
      <c r="L255" s="35"/>
    </row>
    <row r="256" customFormat="false" ht="15" hidden="false" customHeight="true" outlineLevel="0" collapsed="false">
      <c r="A256" s="83" t="s">
        <v>538</v>
      </c>
      <c r="B256" s="25" t="s">
        <v>539</v>
      </c>
      <c r="C256" s="24"/>
      <c r="D256" s="24"/>
      <c r="E256" s="24"/>
      <c r="F256" s="24"/>
      <c r="G256" s="24"/>
      <c r="H256" s="24"/>
      <c r="I256" s="24"/>
      <c r="J256" s="24"/>
      <c r="K256" s="24"/>
      <c r="L256" s="24"/>
    </row>
    <row r="257" customFormat="false" ht="15" hidden="false" customHeight="true" outlineLevel="0" collapsed="false">
      <c r="A257" s="24"/>
      <c r="B257" s="20" t="s">
        <v>487</v>
      </c>
      <c r="C257" s="37" t="s">
        <v>488</v>
      </c>
      <c r="D257" s="37" t="s">
        <v>540</v>
      </c>
      <c r="E257" s="84" t="n">
        <v>0.3</v>
      </c>
      <c r="F257" s="21" t="n">
        <f aca="false">INDEX('Perhitungan Upah'!$C$5:$C$13,MATCH(C257,'Perhitungan Upah'!$B$5:$B$13,0))</f>
        <v>130500</v>
      </c>
      <c r="G257" s="21" t="n">
        <f aca="false">E257*F257</f>
        <v>39150</v>
      </c>
      <c r="H257" s="85" t="s">
        <v>120</v>
      </c>
      <c r="I257" s="85" t="s">
        <v>116</v>
      </c>
      <c r="J257" s="85" t="s">
        <v>541</v>
      </c>
      <c r="K257" s="86" t="n">
        <f aca="false">$K$255</f>
        <v>202.612304845413</v>
      </c>
      <c r="L257" s="86" t="n">
        <f aca="false">E257*K257</f>
        <v>60.783691453624</v>
      </c>
    </row>
    <row r="258" customFormat="false" ht="15" hidden="false" customHeight="true" outlineLevel="0" collapsed="false">
      <c r="A258" s="24"/>
      <c r="B258" s="20" t="s">
        <v>490</v>
      </c>
      <c r="C258" s="37" t="s">
        <v>491</v>
      </c>
      <c r="D258" s="37" t="s">
        <v>540</v>
      </c>
      <c r="E258" s="84" t="n">
        <v>0.15</v>
      </c>
      <c r="F258" s="21" t="n">
        <f aca="false">INDEX('Perhitungan Upah'!$C$5:$C$13,MATCH(C258,'Perhitungan Upah'!$B$5:$B$13,0))</f>
        <v>175300</v>
      </c>
      <c r="G258" s="21" t="n">
        <f aca="false">E258*F258</f>
        <v>26295</v>
      </c>
      <c r="H258" s="85" t="s">
        <v>120</v>
      </c>
      <c r="I258" s="85" t="s">
        <v>116</v>
      </c>
      <c r="J258" s="85" t="s">
        <v>541</v>
      </c>
      <c r="K258" s="86" t="n">
        <f aca="false">$K$255</f>
        <v>202.612304845413</v>
      </c>
      <c r="L258" s="86" t="n">
        <f aca="false">E258*K258</f>
        <v>30.391845726812</v>
      </c>
    </row>
    <row r="259" customFormat="false" ht="15" hidden="false" customHeight="true" outlineLevel="0" collapsed="false">
      <c r="A259" s="24"/>
      <c r="B259" s="20" t="s">
        <v>502</v>
      </c>
      <c r="C259" s="37" t="s">
        <v>503</v>
      </c>
      <c r="D259" s="37" t="s">
        <v>540</v>
      </c>
      <c r="E259" s="84" t="n">
        <v>0.015</v>
      </c>
      <c r="F259" s="21" t="n">
        <f aca="false">INDEX('Perhitungan Upah'!$C$5:$C$13,MATCH(C259,'Perhitungan Upah'!$B$5:$B$13,0))</f>
        <v>198900</v>
      </c>
      <c r="G259" s="21" t="n">
        <f aca="false">E259*F259</f>
        <v>2983.5</v>
      </c>
      <c r="H259" s="85" t="s">
        <v>120</v>
      </c>
      <c r="I259" s="85" t="s">
        <v>116</v>
      </c>
      <c r="J259" s="85" t="s">
        <v>541</v>
      </c>
      <c r="K259" s="86" t="n">
        <f aca="false">$K$255</f>
        <v>202.612304845413</v>
      </c>
      <c r="L259" s="86" t="n">
        <f aca="false">E259*K259</f>
        <v>3.0391845726812</v>
      </c>
    </row>
    <row r="260" customFormat="false" ht="15" hidden="false" customHeight="true" outlineLevel="0" collapsed="false">
      <c r="A260" s="24"/>
      <c r="B260" s="20" t="s">
        <v>504</v>
      </c>
      <c r="C260" s="37" t="s">
        <v>505</v>
      </c>
      <c r="D260" s="37" t="s">
        <v>540</v>
      </c>
      <c r="E260" s="84" t="n">
        <v>0.015</v>
      </c>
      <c r="F260" s="21" t="n">
        <f aca="false">INDEX('Perhitungan Upah'!$C$5:$C$13,MATCH(C260,'Perhitungan Upah'!$B$5:$B$13,0))</f>
        <v>228300</v>
      </c>
      <c r="G260" s="21" t="n">
        <f aca="false">E260*F260</f>
        <v>3424.5</v>
      </c>
      <c r="H260" s="85" t="s">
        <v>120</v>
      </c>
      <c r="I260" s="85" t="s">
        <v>116</v>
      </c>
      <c r="J260" s="85" t="s">
        <v>541</v>
      </c>
      <c r="K260" s="86" t="n">
        <f aca="false">$K$255</f>
        <v>202.612304845413</v>
      </c>
      <c r="L260" s="86" t="n">
        <f aca="false">E260*K260</f>
        <v>3.0391845726812</v>
      </c>
    </row>
    <row r="261" customFormat="false" ht="15" hidden="false" customHeight="true" outlineLevel="0" collapsed="false">
      <c r="A261" s="87"/>
      <c r="B261" s="88" t="s">
        <v>542</v>
      </c>
      <c r="C261" s="87"/>
      <c r="D261" s="87"/>
      <c r="E261" s="87"/>
      <c r="F261" s="87"/>
      <c r="G261" s="89" t="n">
        <f aca="false">SUM(G257:G260)</f>
        <v>71853</v>
      </c>
      <c r="H261" s="24"/>
      <c r="I261" s="24"/>
      <c r="J261" s="24"/>
      <c r="K261" s="24"/>
      <c r="L261" s="24"/>
    </row>
    <row r="262" customFormat="false" ht="15" hidden="false" customHeight="true" outlineLevel="0" collapsed="false">
      <c r="A262" s="83" t="s">
        <v>543</v>
      </c>
      <c r="B262" s="25" t="s">
        <v>544</v>
      </c>
      <c r="C262" s="24"/>
      <c r="D262" s="24"/>
      <c r="E262" s="24"/>
      <c r="F262" s="24"/>
      <c r="G262" s="24"/>
      <c r="H262" s="24"/>
      <c r="I262" s="24"/>
      <c r="J262" s="24"/>
      <c r="K262" s="24"/>
      <c r="L262" s="24"/>
    </row>
    <row r="263" customFormat="false" ht="15" hidden="false" customHeight="true" outlineLevel="0" collapsed="false">
      <c r="A263" s="24"/>
      <c r="B263" s="20" t="s">
        <v>297</v>
      </c>
      <c r="C263" s="37" t="s">
        <v>296</v>
      </c>
      <c r="D263" s="37" t="s">
        <v>299</v>
      </c>
      <c r="E263" s="84" t="n">
        <v>9.9645</v>
      </c>
      <c r="F263" s="21" t="n">
        <f aca="false">VLOOKUP(C263,'Perhitungan Bahan'!$A$5:$J$61,10,FALSE())</f>
        <v>1575</v>
      </c>
      <c r="G263" s="21" t="n">
        <f aca="false">E263*F263</f>
        <v>15694.0875</v>
      </c>
      <c r="H263" s="85" t="s">
        <v>120</v>
      </c>
      <c r="I263" s="85" t="s">
        <v>116</v>
      </c>
      <c r="J263" s="85" t="s">
        <v>282</v>
      </c>
      <c r="K263" s="86" t="n">
        <f aca="false">$K$255</f>
        <v>202.612304845413</v>
      </c>
      <c r="L263" s="86" t="n">
        <f aca="false">E263*K263</f>
        <v>2018.93031163212</v>
      </c>
    </row>
    <row r="264" customFormat="false" ht="15" hidden="false" customHeight="true" outlineLevel="0" collapsed="false">
      <c r="A264" s="24"/>
      <c r="B264" s="20" t="s">
        <v>305</v>
      </c>
      <c r="C264" s="37" t="s">
        <v>304</v>
      </c>
      <c r="D264" s="37" t="s">
        <v>93</v>
      </c>
      <c r="E264" s="84" t="n">
        <v>0.0264</v>
      </c>
      <c r="F264" s="21" t="n">
        <f aca="false">VLOOKUP(C264,'Perhitungan Bahan'!$A$5:$J$61,10,FALSE())</f>
        <v>295200</v>
      </c>
      <c r="G264" s="21" t="n">
        <f aca="false">E264*F264</f>
        <v>7793.28</v>
      </c>
      <c r="H264" s="85" t="s">
        <v>120</v>
      </c>
      <c r="I264" s="85" t="s">
        <v>116</v>
      </c>
      <c r="J264" s="85" t="s">
        <v>282</v>
      </c>
      <c r="K264" s="86" t="n">
        <f aca="false">$K$255</f>
        <v>202.612304845413</v>
      </c>
      <c r="L264" s="86" t="n">
        <f aca="false">E264*K264</f>
        <v>5.34896484791891</v>
      </c>
    </row>
    <row r="265" customFormat="false" ht="15" hidden="false" customHeight="true" outlineLevel="0" collapsed="false">
      <c r="A265" s="87"/>
      <c r="B265" s="88" t="s">
        <v>71</v>
      </c>
      <c r="C265" s="87"/>
      <c r="D265" s="87"/>
      <c r="E265" s="87"/>
      <c r="F265" s="87"/>
      <c r="G265" s="89" t="n">
        <f aca="false">SUM(G263:G264)</f>
        <v>23487.3675</v>
      </c>
      <c r="H265" s="24"/>
      <c r="I265" s="24"/>
      <c r="J265" s="24"/>
      <c r="K265" s="24"/>
      <c r="L265" s="24"/>
    </row>
    <row r="266" customFormat="false" ht="15" hidden="false" customHeight="true" outlineLevel="0" collapsed="false">
      <c r="A266" s="90" t="s">
        <v>545</v>
      </c>
      <c r="B266" s="91" t="s">
        <v>546</v>
      </c>
      <c r="C266" s="92"/>
      <c r="D266" s="92"/>
      <c r="E266" s="92"/>
      <c r="F266" s="92"/>
      <c r="G266" s="93" t="n">
        <f aca="false">G261+G265</f>
        <v>95340.3675</v>
      </c>
      <c r="H266" s="24"/>
      <c r="I266" s="24"/>
      <c r="J266" s="24"/>
      <c r="K266" s="24"/>
      <c r="L266" s="24"/>
    </row>
    <row r="267" customFormat="false" ht="15" hidden="false" customHeight="true" outlineLevel="0" collapsed="false">
      <c r="A267" s="37" t="s">
        <v>547</v>
      </c>
      <c r="B267" s="20" t="s">
        <v>548</v>
      </c>
      <c r="C267" s="24"/>
      <c r="D267" s="24"/>
      <c r="E267" s="94" t="n">
        <f aca="false">Parameter!$B$4</f>
        <v>0.15</v>
      </c>
      <c r="F267" s="24"/>
      <c r="G267" s="21" t="n">
        <f aca="false">G266*E267</f>
        <v>14301.055125</v>
      </c>
      <c r="H267" s="24"/>
      <c r="I267" s="24"/>
      <c r="J267" s="24"/>
      <c r="K267" s="24"/>
      <c r="L267" s="24"/>
    </row>
    <row r="268" customFormat="false" ht="15" hidden="false" customHeight="true" outlineLevel="0" collapsed="false">
      <c r="A268" s="95" t="s">
        <v>549</v>
      </c>
      <c r="B268" s="96" t="s">
        <v>550</v>
      </c>
      <c r="C268" s="97"/>
      <c r="D268" s="97"/>
      <c r="E268" s="97"/>
      <c r="F268" s="97"/>
      <c r="G268" s="98" t="n">
        <f aca="false">G266+G267</f>
        <v>109641.422625</v>
      </c>
      <c r="H268" s="24"/>
      <c r="I268" s="24"/>
      <c r="J268" s="24"/>
      <c r="K268" s="24"/>
      <c r="L268" s="24"/>
    </row>
    <row r="270" customFormat="false" ht="23.25" hidden="false" customHeight="true" outlineLevel="0" collapsed="false">
      <c r="A270" s="35" t="s">
        <v>124</v>
      </c>
      <c r="B270" s="35" t="s">
        <v>566</v>
      </c>
      <c r="C270" s="35"/>
      <c r="D270" s="35"/>
      <c r="E270" s="35"/>
      <c r="F270" s="35"/>
      <c r="G270" s="35"/>
      <c r="H270" s="35"/>
      <c r="I270" s="35"/>
      <c r="J270" s="81" t="s">
        <v>537</v>
      </c>
      <c r="K270" s="82" t="n">
        <f aca="false">Volume!$B$42</f>
        <v>59.8596759095804</v>
      </c>
      <c r="L270" s="35"/>
    </row>
    <row r="271" customFormat="false" ht="23.25" hidden="false" customHeight="true" outlineLevel="0" collapsed="false">
      <c r="A271" s="83" t="s">
        <v>538</v>
      </c>
      <c r="B271" s="25" t="s">
        <v>567</v>
      </c>
      <c r="C271" s="24"/>
      <c r="D271" s="24"/>
      <c r="E271" s="24"/>
      <c r="F271" s="24"/>
      <c r="G271" s="26" t="n">
        <v>0</v>
      </c>
      <c r="H271" s="24"/>
      <c r="I271" s="24"/>
      <c r="J271" s="24"/>
      <c r="K271" s="24"/>
      <c r="L271" s="24"/>
    </row>
    <row r="272" customFormat="false" ht="23.25" hidden="false" customHeight="true" outlineLevel="0" collapsed="false">
      <c r="A272" s="83" t="s">
        <v>543</v>
      </c>
      <c r="B272" s="25" t="s">
        <v>568</v>
      </c>
      <c r="C272" s="24"/>
      <c r="D272" s="24"/>
      <c r="E272" s="24"/>
      <c r="F272" s="24"/>
      <c r="G272" s="24"/>
      <c r="H272" s="24"/>
      <c r="I272" s="24"/>
      <c r="J272" s="24"/>
      <c r="K272" s="24"/>
      <c r="L272" s="24"/>
    </row>
    <row r="273" customFormat="false" ht="15" hidden="false" customHeight="true" outlineLevel="0" collapsed="false">
      <c r="A273" s="24"/>
      <c r="B273" s="20" t="s">
        <v>125</v>
      </c>
      <c r="C273" s="37" t="s">
        <v>463</v>
      </c>
      <c r="D273" s="37" t="s">
        <v>81</v>
      </c>
      <c r="E273" s="99" t="n">
        <v>1</v>
      </c>
      <c r="F273" s="39" t="n">
        <f aca="false">'Perhitungan Bahan'!I67</f>
        <v>201600</v>
      </c>
      <c r="G273" s="21" t="n">
        <f aca="false">E273*F273</f>
        <v>201600</v>
      </c>
      <c r="H273" s="24"/>
      <c r="I273" s="24"/>
      <c r="J273" s="24"/>
      <c r="K273" s="24"/>
      <c r="L273" s="24"/>
    </row>
    <row r="274" customFormat="false" ht="15" hidden="false" customHeight="true" outlineLevel="0" collapsed="false">
      <c r="A274" s="87"/>
      <c r="B274" s="88" t="s">
        <v>569</v>
      </c>
      <c r="C274" s="87"/>
      <c r="D274" s="87"/>
      <c r="E274" s="87"/>
      <c r="F274" s="87"/>
      <c r="G274" s="89" t="n">
        <f aca="false">G273</f>
        <v>201600</v>
      </c>
      <c r="H274" s="24"/>
      <c r="I274" s="24"/>
      <c r="J274" s="24"/>
      <c r="K274" s="24"/>
      <c r="L274" s="24"/>
    </row>
    <row r="275" customFormat="false" ht="15" hidden="false" customHeight="true" outlineLevel="0" collapsed="false">
      <c r="A275" s="90" t="s">
        <v>545</v>
      </c>
      <c r="B275" s="91" t="s">
        <v>546</v>
      </c>
      <c r="C275" s="92"/>
      <c r="D275" s="92"/>
      <c r="E275" s="92"/>
      <c r="F275" s="92"/>
      <c r="G275" s="93" t="n">
        <f aca="false">G271+G274</f>
        <v>201600</v>
      </c>
      <c r="H275" s="24"/>
      <c r="I275" s="24"/>
      <c r="J275" s="24"/>
      <c r="K275" s="24"/>
      <c r="L275" s="24"/>
    </row>
    <row r="276" customFormat="false" ht="15" hidden="false" customHeight="true" outlineLevel="0" collapsed="false">
      <c r="A276" s="37" t="s">
        <v>547</v>
      </c>
      <c r="B276" s="20" t="s">
        <v>548</v>
      </c>
      <c r="C276" s="24"/>
      <c r="D276" s="24"/>
      <c r="E276" s="94" t="n">
        <f aca="false">Parameter!$B$4</f>
        <v>0.15</v>
      </c>
      <c r="F276" s="24"/>
      <c r="G276" s="21" t="n">
        <f aca="false">G275*E276</f>
        <v>30240</v>
      </c>
      <c r="H276" s="24"/>
      <c r="I276" s="24"/>
      <c r="J276" s="24"/>
      <c r="K276" s="24"/>
      <c r="L276" s="24"/>
    </row>
    <row r="277" customFormat="false" ht="15" hidden="false" customHeight="true" outlineLevel="0" collapsed="false">
      <c r="A277" s="95" t="s">
        <v>549</v>
      </c>
      <c r="B277" s="96" t="s">
        <v>550</v>
      </c>
      <c r="C277" s="97"/>
      <c r="D277" s="97"/>
      <c r="E277" s="97"/>
      <c r="F277" s="97"/>
      <c r="G277" s="98" t="n">
        <f aca="false">G275+G276</f>
        <v>231840</v>
      </c>
      <c r="H277" s="24"/>
      <c r="I277" s="24"/>
      <c r="J277" s="24"/>
      <c r="K277" s="24"/>
      <c r="L277" s="24"/>
    </row>
    <row r="279" customFormat="false" ht="23.25" hidden="false" customHeight="true" outlineLevel="0" collapsed="false">
      <c r="A279" s="35" t="s">
        <v>127</v>
      </c>
      <c r="B279" s="35" t="s">
        <v>570</v>
      </c>
      <c r="C279" s="35"/>
      <c r="D279" s="35"/>
      <c r="E279" s="35"/>
      <c r="F279" s="35"/>
      <c r="G279" s="35"/>
      <c r="H279" s="35"/>
      <c r="I279" s="35"/>
      <c r="J279" s="81" t="s">
        <v>537</v>
      </c>
      <c r="K279" s="82" t="n">
        <f aca="false">Volume!$B$42</f>
        <v>59.8596759095804</v>
      </c>
      <c r="L279" s="35"/>
    </row>
    <row r="280" customFormat="false" ht="15" hidden="false" customHeight="true" outlineLevel="0" collapsed="false">
      <c r="A280" s="83" t="s">
        <v>538</v>
      </c>
      <c r="B280" s="25" t="s">
        <v>539</v>
      </c>
      <c r="C280" s="24"/>
      <c r="D280" s="24"/>
      <c r="E280" s="24"/>
      <c r="F280" s="24"/>
      <c r="G280" s="24"/>
      <c r="H280" s="24"/>
      <c r="I280" s="24"/>
      <c r="J280" s="24"/>
      <c r="K280" s="24"/>
      <c r="L280" s="24"/>
    </row>
    <row r="281" customFormat="false" ht="15" hidden="false" customHeight="true" outlineLevel="0" collapsed="false">
      <c r="A281" s="24"/>
      <c r="B281" s="20" t="s">
        <v>490</v>
      </c>
      <c r="C281" s="37" t="s">
        <v>491</v>
      </c>
      <c r="D281" s="37" t="s">
        <v>540</v>
      </c>
      <c r="E281" s="84" t="n">
        <v>0.35</v>
      </c>
      <c r="F281" s="21" t="n">
        <f aca="false">INDEX('Perhitungan Upah'!$C$5:$C$13,MATCH(C281,'Perhitungan Upah'!$B$5:$B$13,0))</f>
        <v>175300</v>
      </c>
      <c r="G281" s="21" t="n">
        <f aca="false">E281*F281</f>
        <v>61355</v>
      </c>
      <c r="H281" s="85" t="s">
        <v>127</v>
      </c>
      <c r="I281" s="85" t="s">
        <v>122</v>
      </c>
      <c r="J281" s="85" t="s">
        <v>541</v>
      </c>
      <c r="K281" s="86" t="n">
        <f aca="false">$K$279</f>
        <v>59.8596759095804</v>
      </c>
      <c r="L281" s="86" t="n">
        <f aca="false">E281*K281</f>
        <v>20.9508865683531</v>
      </c>
    </row>
    <row r="282" customFormat="false" ht="15" hidden="false" customHeight="true" outlineLevel="0" collapsed="false">
      <c r="A282" s="24"/>
      <c r="B282" s="20" t="s">
        <v>487</v>
      </c>
      <c r="C282" s="37" t="s">
        <v>488</v>
      </c>
      <c r="D282" s="37" t="s">
        <v>540</v>
      </c>
      <c r="E282" s="84" t="n">
        <v>0.3</v>
      </c>
      <c r="F282" s="21" t="n">
        <f aca="false">INDEX('Perhitungan Upah'!$C$5:$C$13,MATCH(C282,'Perhitungan Upah'!$B$5:$B$13,0))</f>
        <v>130500</v>
      </c>
      <c r="G282" s="21" t="n">
        <f aca="false">E282*F282</f>
        <v>39150</v>
      </c>
      <c r="H282" s="85" t="s">
        <v>127</v>
      </c>
      <c r="I282" s="85" t="s">
        <v>122</v>
      </c>
      <c r="J282" s="85" t="s">
        <v>541</v>
      </c>
      <c r="K282" s="86" t="n">
        <f aca="false">$K$279</f>
        <v>59.8596759095804</v>
      </c>
      <c r="L282" s="86" t="n">
        <f aca="false">E282*K282</f>
        <v>17.9579027728741</v>
      </c>
    </row>
    <row r="283" customFormat="false" ht="15" hidden="false" customHeight="true" outlineLevel="0" collapsed="false">
      <c r="A283" s="87"/>
      <c r="B283" s="88" t="s">
        <v>542</v>
      </c>
      <c r="C283" s="87"/>
      <c r="D283" s="87"/>
      <c r="E283" s="87"/>
      <c r="F283" s="87"/>
      <c r="G283" s="89" t="n">
        <f aca="false">SUM(G281:G282)</f>
        <v>100505</v>
      </c>
      <c r="H283" s="24"/>
      <c r="I283" s="24"/>
      <c r="J283" s="24"/>
      <c r="K283" s="24"/>
      <c r="L283" s="24"/>
    </row>
    <row r="284" customFormat="false" ht="15" hidden="false" customHeight="true" outlineLevel="0" collapsed="false">
      <c r="A284" s="83" t="s">
        <v>543</v>
      </c>
      <c r="B284" s="25" t="s">
        <v>544</v>
      </c>
      <c r="C284" s="24"/>
      <c r="D284" s="24"/>
      <c r="E284" s="24"/>
      <c r="F284" s="24"/>
      <c r="G284" s="24"/>
      <c r="H284" s="24"/>
      <c r="I284" s="24"/>
      <c r="J284" s="24"/>
      <c r="K284" s="24"/>
      <c r="L284" s="24"/>
    </row>
    <row r="285" customFormat="false" ht="15" hidden="false" customHeight="true" outlineLevel="0" collapsed="false">
      <c r="A285" s="24"/>
      <c r="B285" s="20" t="s">
        <v>128</v>
      </c>
      <c r="C285" s="37" t="s">
        <v>353</v>
      </c>
      <c r="D285" s="37" t="s">
        <v>181</v>
      </c>
      <c r="E285" s="84" t="n">
        <v>10.3</v>
      </c>
      <c r="F285" s="21" t="n">
        <f aca="false">VLOOKUP(C285,'Perhitungan Bahan'!$A$5:$J$61,10,FALSE())</f>
        <v>12450</v>
      </c>
      <c r="G285" s="21" t="n">
        <f aca="false">E285*F285</f>
        <v>128235</v>
      </c>
      <c r="H285" s="85" t="s">
        <v>127</v>
      </c>
      <c r="I285" s="85" t="s">
        <v>122</v>
      </c>
      <c r="J285" s="85" t="s">
        <v>282</v>
      </c>
      <c r="K285" s="86" t="n">
        <f aca="false">$K$279</f>
        <v>59.8596759095804</v>
      </c>
      <c r="L285" s="86" t="n">
        <f aca="false">E285*K285</f>
        <v>616.554661868678</v>
      </c>
    </row>
    <row r="286" customFormat="false" ht="15" hidden="false" customHeight="true" outlineLevel="0" collapsed="false">
      <c r="A286" s="87"/>
      <c r="B286" s="88" t="s">
        <v>71</v>
      </c>
      <c r="C286" s="87"/>
      <c r="D286" s="87"/>
      <c r="E286" s="87"/>
      <c r="F286" s="87"/>
      <c r="G286" s="89" t="n">
        <f aca="false">SUM(G285:G285)</f>
        <v>128235</v>
      </c>
      <c r="H286" s="24"/>
      <c r="I286" s="24"/>
      <c r="J286" s="24"/>
      <c r="K286" s="24"/>
      <c r="L286" s="24"/>
    </row>
    <row r="287" customFormat="false" ht="15" hidden="false" customHeight="true" outlineLevel="0" collapsed="false">
      <c r="A287" s="90" t="s">
        <v>545</v>
      </c>
      <c r="B287" s="91" t="s">
        <v>546</v>
      </c>
      <c r="C287" s="92"/>
      <c r="D287" s="92"/>
      <c r="E287" s="92"/>
      <c r="F287" s="92"/>
      <c r="G287" s="93" t="n">
        <f aca="false">G283+G286</f>
        <v>228740</v>
      </c>
      <c r="H287" s="24"/>
      <c r="I287" s="24"/>
      <c r="J287" s="24"/>
      <c r="K287" s="24"/>
      <c r="L287" s="24"/>
    </row>
    <row r="288" customFormat="false" ht="15" hidden="false" customHeight="true" outlineLevel="0" collapsed="false">
      <c r="A288" s="37" t="s">
        <v>547</v>
      </c>
      <c r="B288" s="20" t="s">
        <v>548</v>
      </c>
      <c r="C288" s="24"/>
      <c r="D288" s="24"/>
      <c r="E288" s="94" t="n">
        <f aca="false">Parameter!$B$4</f>
        <v>0.15</v>
      </c>
      <c r="F288" s="24"/>
      <c r="G288" s="21" t="n">
        <f aca="false">G287*E288</f>
        <v>34311</v>
      </c>
      <c r="H288" s="24"/>
      <c r="I288" s="24"/>
      <c r="J288" s="24"/>
      <c r="K288" s="24"/>
      <c r="L288" s="24"/>
    </row>
    <row r="289" customFormat="false" ht="15" hidden="false" customHeight="true" outlineLevel="0" collapsed="false">
      <c r="A289" s="95" t="s">
        <v>549</v>
      </c>
      <c r="B289" s="96" t="s">
        <v>550</v>
      </c>
      <c r="C289" s="97"/>
      <c r="D289" s="97"/>
      <c r="E289" s="97"/>
      <c r="F289" s="97"/>
      <c r="G289" s="98" t="n">
        <f aca="false">G287+G288</f>
        <v>263051</v>
      </c>
      <c r="H289" s="24"/>
      <c r="I289" s="24"/>
      <c r="J289" s="24"/>
      <c r="K289" s="24"/>
      <c r="L289" s="24"/>
    </row>
    <row r="291" customFormat="false" ht="23.25" hidden="false" customHeight="true" outlineLevel="0" collapsed="false">
      <c r="A291" s="35" t="s">
        <v>129</v>
      </c>
      <c r="B291" s="35" t="s">
        <v>571</v>
      </c>
      <c r="C291" s="35"/>
      <c r="D291" s="35"/>
      <c r="E291" s="35"/>
      <c r="F291" s="35"/>
      <c r="G291" s="35"/>
      <c r="H291" s="35"/>
      <c r="I291" s="35"/>
      <c r="J291" s="81" t="s">
        <v>537</v>
      </c>
      <c r="K291" s="82" t="n">
        <f aca="false">Volume!$B$50</f>
        <v>7.2</v>
      </c>
      <c r="L291" s="35"/>
    </row>
    <row r="292" customFormat="false" ht="15" hidden="false" customHeight="true" outlineLevel="0" collapsed="false">
      <c r="A292" s="83" t="s">
        <v>538</v>
      </c>
      <c r="B292" s="25" t="s">
        <v>539</v>
      </c>
      <c r="C292" s="24"/>
      <c r="D292" s="24"/>
      <c r="E292" s="24"/>
      <c r="F292" s="24"/>
      <c r="G292" s="24"/>
      <c r="H292" s="24"/>
      <c r="I292" s="24"/>
      <c r="J292" s="24"/>
      <c r="K292" s="24"/>
      <c r="L292" s="24"/>
    </row>
    <row r="293" customFormat="false" ht="15" hidden="false" customHeight="true" outlineLevel="0" collapsed="false">
      <c r="A293" s="24"/>
      <c r="B293" s="20" t="s">
        <v>490</v>
      </c>
      <c r="C293" s="37" t="s">
        <v>491</v>
      </c>
      <c r="D293" s="37" t="s">
        <v>540</v>
      </c>
      <c r="E293" s="84" t="n">
        <v>0.15</v>
      </c>
      <c r="F293" s="21" t="n">
        <f aca="false">INDEX('Perhitungan Upah'!$C$5:$C$13,MATCH(C293,'Perhitungan Upah'!$B$5:$B$13,0))</f>
        <v>175300</v>
      </c>
      <c r="G293" s="21" t="n">
        <f aca="false">E293*F293</f>
        <v>26295</v>
      </c>
      <c r="H293" s="85" t="s">
        <v>129</v>
      </c>
      <c r="I293" s="85" t="s">
        <v>122</v>
      </c>
      <c r="J293" s="85" t="s">
        <v>541</v>
      </c>
      <c r="K293" s="86" t="n">
        <f aca="false">$K$291</f>
        <v>7.2</v>
      </c>
      <c r="L293" s="86" t="n">
        <f aca="false">E293*K293</f>
        <v>1.08</v>
      </c>
    </row>
    <row r="294" customFormat="false" ht="15" hidden="false" customHeight="true" outlineLevel="0" collapsed="false">
      <c r="A294" s="24"/>
      <c r="B294" s="20" t="s">
        <v>487</v>
      </c>
      <c r="C294" s="37" t="s">
        <v>488</v>
      </c>
      <c r="D294" s="37" t="s">
        <v>540</v>
      </c>
      <c r="E294" s="84" t="n">
        <v>0.1</v>
      </c>
      <c r="F294" s="21" t="n">
        <f aca="false">INDEX('Perhitungan Upah'!$C$5:$C$13,MATCH(C294,'Perhitungan Upah'!$B$5:$B$13,0))</f>
        <v>130500</v>
      </c>
      <c r="G294" s="21" t="n">
        <f aca="false">E294*F294</f>
        <v>13050</v>
      </c>
      <c r="H294" s="85" t="s">
        <v>129</v>
      </c>
      <c r="I294" s="85" t="s">
        <v>122</v>
      </c>
      <c r="J294" s="85" t="s">
        <v>541</v>
      </c>
      <c r="K294" s="86" t="n">
        <f aca="false">$K$291</f>
        <v>7.2</v>
      </c>
      <c r="L294" s="86" t="n">
        <f aca="false">E294*K294</f>
        <v>0.72</v>
      </c>
    </row>
    <row r="295" customFormat="false" ht="15" hidden="false" customHeight="true" outlineLevel="0" collapsed="false">
      <c r="A295" s="87"/>
      <c r="B295" s="88" t="s">
        <v>542</v>
      </c>
      <c r="C295" s="87"/>
      <c r="D295" s="87"/>
      <c r="E295" s="87"/>
      <c r="F295" s="87"/>
      <c r="G295" s="89" t="n">
        <f aca="false">SUM(G293:G294)</f>
        <v>39345</v>
      </c>
      <c r="H295" s="24"/>
      <c r="I295" s="24"/>
      <c r="J295" s="24"/>
      <c r="K295" s="24"/>
      <c r="L295" s="24"/>
    </row>
    <row r="296" customFormat="false" ht="15" hidden="false" customHeight="true" outlineLevel="0" collapsed="false">
      <c r="A296" s="83" t="s">
        <v>543</v>
      </c>
      <c r="B296" s="25" t="s">
        <v>544</v>
      </c>
      <c r="C296" s="24"/>
      <c r="D296" s="24"/>
      <c r="E296" s="24"/>
      <c r="F296" s="24"/>
      <c r="G296" s="24"/>
      <c r="H296" s="24"/>
      <c r="I296" s="24"/>
      <c r="J296" s="24"/>
      <c r="K296" s="24"/>
      <c r="L296" s="24"/>
    </row>
    <row r="297" customFormat="false" ht="15" hidden="false" customHeight="true" outlineLevel="0" collapsed="false">
      <c r="A297" s="24"/>
      <c r="B297" s="20" t="s">
        <v>356</v>
      </c>
      <c r="C297" s="37" t="s">
        <v>355</v>
      </c>
      <c r="D297" s="37" t="s">
        <v>181</v>
      </c>
      <c r="E297" s="84" t="n">
        <v>3.15</v>
      </c>
      <c r="F297" s="21" t="n">
        <f aca="false">VLOOKUP(C297,'Perhitungan Bahan'!$A$5:$J$61,10,FALSE())</f>
        <v>8350</v>
      </c>
      <c r="G297" s="21" t="n">
        <f aca="false">E297*F297</f>
        <v>26302.5</v>
      </c>
      <c r="H297" s="85" t="s">
        <v>129</v>
      </c>
      <c r="I297" s="85" t="s">
        <v>122</v>
      </c>
      <c r="J297" s="85" t="s">
        <v>282</v>
      </c>
      <c r="K297" s="86" t="n">
        <f aca="false">$K$291</f>
        <v>7.2</v>
      </c>
      <c r="L297" s="86" t="n">
        <f aca="false">E297*K297</f>
        <v>22.68</v>
      </c>
    </row>
    <row r="298" customFormat="false" ht="15" hidden="false" customHeight="true" outlineLevel="0" collapsed="false">
      <c r="A298" s="24"/>
      <c r="B298" s="20" t="s">
        <v>297</v>
      </c>
      <c r="C298" s="37" t="s">
        <v>296</v>
      </c>
      <c r="D298" s="37" t="s">
        <v>299</v>
      </c>
      <c r="E298" s="84" t="n">
        <v>3.15</v>
      </c>
      <c r="F298" s="21" t="n">
        <f aca="false">VLOOKUP(C298,'Perhitungan Bahan'!$A$5:$J$61,10,FALSE())</f>
        <v>1575</v>
      </c>
      <c r="G298" s="21" t="n">
        <f aca="false">E298*F298</f>
        <v>4961.25</v>
      </c>
      <c r="H298" s="85" t="s">
        <v>129</v>
      </c>
      <c r="I298" s="85" t="s">
        <v>122</v>
      </c>
      <c r="J298" s="85" t="s">
        <v>282</v>
      </c>
      <c r="K298" s="86" t="n">
        <f aca="false">$K$291</f>
        <v>7.2</v>
      </c>
      <c r="L298" s="86" t="n">
        <f aca="false">E298*K298</f>
        <v>22.68</v>
      </c>
    </row>
    <row r="299" customFormat="false" ht="15" hidden="false" customHeight="true" outlineLevel="0" collapsed="false">
      <c r="A299" s="24"/>
      <c r="B299" s="20" t="s">
        <v>305</v>
      </c>
      <c r="C299" s="37" t="s">
        <v>304</v>
      </c>
      <c r="D299" s="37" t="s">
        <v>93</v>
      </c>
      <c r="E299" s="84" t="n">
        <v>0.011</v>
      </c>
      <c r="F299" s="21" t="n">
        <f aca="false">VLOOKUP(C299,'Perhitungan Bahan'!$A$5:$J$61,10,FALSE())</f>
        <v>295200</v>
      </c>
      <c r="G299" s="21" t="n">
        <f aca="false">E299*F299</f>
        <v>3247.2</v>
      </c>
      <c r="H299" s="85" t="s">
        <v>129</v>
      </c>
      <c r="I299" s="85" t="s">
        <v>122</v>
      </c>
      <c r="J299" s="85" t="s">
        <v>282</v>
      </c>
      <c r="K299" s="86" t="n">
        <f aca="false">$K$291</f>
        <v>7.2</v>
      </c>
      <c r="L299" s="86" t="n">
        <f aca="false">E299*K299</f>
        <v>0.0792</v>
      </c>
    </row>
    <row r="300" customFormat="false" ht="15" hidden="false" customHeight="true" outlineLevel="0" collapsed="false">
      <c r="A300" s="87"/>
      <c r="B300" s="88" t="s">
        <v>71</v>
      </c>
      <c r="C300" s="87"/>
      <c r="D300" s="87"/>
      <c r="E300" s="87"/>
      <c r="F300" s="87"/>
      <c r="G300" s="89" t="n">
        <f aca="false">SUM(G297:G299)</f>
        <v>34510.95</v>
      </c>
      <c r="H300" s="24"/>
      <c r="I300" s="24"/>
      <c r="J300" s="24"/>
      <c r="K300" s="24"/>
      <c r="L300" s="24"/>
    </row>
    <row r="301" customFormat="false" ht="15" hidden="false" customHeight="true" outlineLevel="0" collapsed="false">
      <c r="A301" s="90" t="s">
        <v>545</v>
      </c>
      <c r="B301" s="91" t="s">
        <v>546</v>
      </c>
      <c r="C301" s="92"/>
      <c r="D301" s="92"/>
      <c r="E301" s="92"/>
      <c r="F301" s="92"/>
      <c r="G301" s="93" t="n">
        <f aca="false">G295+G300</f>
        <v>73855.95</v>
      </c>
      <c r="H301" s="24"/>
      <c r="I301" s="24"/>
      <c r="J301" s="24"/>
      <c r="K301" s="24"/>
      <c r="L301" s="24"/>
    </row>
    <row r="302" customFormat="false" ht="15" hidden="false" customHeight="true" outlineLevel="0" collapsed="false">
      <c r="A302" s="37" t="s">
        <v>547</v>
      </c>
      <c r="B302" s="20" t="s">
        <v>548</v>
      </c>
      <c r="C302" s="24"/>
      <c r="D302" s="24"/>
      <c r="E302" s="94" t="n">
        <f aca="false">Parameter!$B$4</f>
        <v>0.15</v>
      </c>
      <c r="F302" s="24"/>
      <c r="G302" s="21" t="n">
        <f aca="false">G301*E302</f>
        <v>11078.3925</v>
      </c>
      <c r="H302" s="24"/>
      <c r="I302" s="24"/>
      <c r="J302" s="24"/>
      <c r="K302" s="24"/>
      <c r="L302" s="24"/>
    </row>
    <row r="303" customFormat="false" ht="15" hidden="false" customHeight="true" outlineLevel="0" collapsed="false">
      <c r="A303" s="95" t="s">
        <v>549</v>
      </c>
      <c r="B303" s="96" t="s">
        <v>550</v>
      </c>
      <c r="C303" s="97"/>
      <c r="D303" s="97"/>
      <c r="E303" s="97"/>
      <c r="F303" s="97"/>
      <c r="G303" s="98" t="n">
        <f aca="false">G301+G302</f>
        <v>84934.3425</v>
      </c>
      <c r="H303" s="24"/>
      <c r="I303" s="24"/>
      <c r="J303" s="24"/>
      <c r="K303" s="24"/>
      <c r="L303" s="24"/>
    </row>
    <row r="305" customFormat="false" ht="23.25" hidden="false" customHeight="true" outlineLevel="0" collapsed="false">
      <c r="A305" s="35" t="s">
        <v>132</v>
      </c>
      <c r="B305" s="35" t="s">
        <v>572</v>
      </c>
      <c r="C305" s="35"/>
      <c r="D305" s="35"/>
      <c r="E305" s="35"/>
      <c r="F305" s="35"/>
      <c r="G305" s="35"/>
      <c r="H305" s="35"/>
      <c r="I305" s="35"/>
      <c r="J305" s="81" t="s">
        <v>537</v>
      </c>
      <c r="K305" s="82" t="n">
        <f aca="false">Volume!$B$43</f>
        <v>31.0276877526612</v>
      </c>
      <c r="L305" s="35"/>
    </row>
    <row r="306" customFormat="false" ht="23.25" hidden="false" customHeight="true" outlineLevel="0" collapsed="false">
      <c r="A306" s="83" t="s">
        <v>538</v>
      </c>
      <c r="B306" s="25" t="s">
        <v>567</v>
      </c>
      <c r="C306" s="24"/>
      <c r="D306" s="24"/>
      <c r="E306" s="24"/>
      <c r="F306" s="24"/>
      <c r="G306" s="26" t="n">
        <v>0</v>
      </c>
      <c r="H306" s="24"/>
      <c r="I306" s="24"/>
      <c r="J306" s="24"/>
      <c r="K306" s="24"/>
      <c r="L306" s="24"/>
    </row>
    <row r="307" customFormat="false" ht="23.25" hidden="false" customHeight="true" outlineLevel="0" collapsed="false">
      <c r="A307" s="83" t="s">
        <v>543</v>
      </c>
      <c r="B307" s="25" t="s">
        <v>568</v>
      </c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 customFormat="false" ht="15" hidden="false" customHeight="true" outlineLevel="0" collapsed="false">
      <c r="A308" s="24"/>
      <c r="B308" s="20" t="s">
        <v>133</v>
      </c>
      <c r="C308" s="37" t="s">
        <v>465</v>
      </c>
      <c r="D308" s="37" t="s">
        <v>131</v>
      </c>
      <c r="E308" s="99" t="n">
        <v>1</v>
      </c>
      <c r="F308" s="39" t="n">
        <f aca="false">'Perhitungan Bahan'!I68</f>
        <v>90000</v>
      </c>
      <c r="G308" s="21" t="n">
        <f aca="false">E308*F308</f>
        <v>90000</v>
      </c>
      <c r="H308" s="24"/>
      <c r="I308" s="24"/>
      <c r="J308" s="24"/>
      <c r="K308" s="24"/>
      <c r="L308" s="24"/>
    </row>
    <row r="309" customFormat="false" ht="15" hidden="false" customHeight="true" outlineLevel="0" collapsed="false">
      <c r="A309" s="87"/>
      <c r="B309" s="88" t="s">
        <v>569</v>
      </c>
      <c r="C309" s="87"/>
      <c r="D309" s="87"/>
      <c r="E309" s="87"/>
      <c r="F309" s="87"/>
      <c r="G309" s="89" t="n">
        <f aca="false">G308</f>
        <v>90000</v>
      </c>
      <c r="H309" s="24"/>
      <c r="I309" s="24"/>
      <c r="J309" s="24"/>
      <c r="K309" s="24"/>
      <c r="L309" s="24"/>
    </row>
    <row r="310" customFormat="false" ht="15" hidden="false" customHeight="true" outlineLevel="0" collapsed="false">
      <c r="A310" s="90" t="s">
        <v>545</v>
      </c>
      <c r="B310" s="91" t="s">
        <v>546</v>
      </c>
      <c r="C310" s="92"/>
      <c r="D310" s="92"/>
      <c r="E310" s="92"/>
      <c r="F310" s="92"/>
      <c r="G310" s="93" t="n">
        <f aca="false">G306+G309</f>
        <v>90000</v>
      </c>
      <c r="H310" s="24"/>
      <c r="I310" s="24"/>
      <c r="J310" s="24"/>
      <c r="K310" s="24"/>
      <c r="L310" s="24"/>
    </row>
    <row r="311" customFormat="false" ht="15" hidden="false" customHeight="true" outlineLevel="0" collapsed="false">
      <c r="A311" s="37" t="s">
        <v>547</v>
      </c>
      <c r="B311" s="20" t="s">
        <v>548</v>
      </c>
      <c r="C311" s="24"/>
      <c r="D311" s="24"/>
      <c r="E311" s="94" t="n">
        <f aca="false">Parameter!$B$4</f>
        <v>0.15</v>
      </c>
      <c r="F311" s="24"/>
      <c r="G311" s="21" t="n">
        <f aca="false">G310*E311</f>
        <v>13500</v>
      </c>
      <c r="H311" s="24"/>
      <c r="I311" s="24"/>
      <c r="J311" s="24"/>
      <c r="K311" s="24"/>
      <c r="L311" s="24"/>
    </row>
    <row r="312" customFormat="false" ht="15" hidden="false" customHeight="true" outlineLevel="0" collapsed="false">
      <c r="A312" s="95" t="s">
        <v>549</v>
      </c>
      <c r="B312" s="96" t="s">
        <v>550</v>
      </c>
      <c r="C312" s="97"/>
      <c r="D312" s="97"/>
      <c r="E312" s="97"/>
      <c r="F312" s="97"/>
      <c r="G312" s="98" t="n">
        <f aca="false">G310+G311</f>
        <v>103500</v>
      </c>
      <c r="H312" s="24"/>
      <c r="I312" s="24"/>
      <c r="J312" s="24"/>
      <c r="K312" s="24"/>
      <c r="L312" s="24"/>
    </row>
    <row r="314" customFormat="false" ht="23.25" hidden="false" customHeight="true" outlineLevel="0" collapsed="false">
      <c r="A314" s="35" t="s">
        <v>136</v>
      </c>
      <c r="B314" s="35" t="s">
        <v>573</v>
      </c>
      <c r="C314" s="35"/>
      <c r="D314" s="35"/>
      <c r="E314" s="35"/>
      <c r="F314" s="35"/>
      <c r="G314" s="35"/>
      <c r="H314" s="35"/>
      <c r="I314" s="35"/>
      <c r="J314" s="81" t="s">
        <v>537</v>
      </c>
      <c r="K314" s="82" t="n">
        <f aca="false">Volume!$B$46</f>
        <v>40.5</v>
      </c>
      <c r="L314" s="35"/>
    </row>
    <row r="315" customFormat="false" ht="15" hidden="false" customHeight="true" outlineLevel="0" collapsed="false">
      <c r="A315" s="83" t="s">
        <v>538</v>
      </c>
      <c r="B315" s="25" t="s">
        <v>539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</row>
    <row r="316" customFormat="false" ht="15" hidden="false" customHeight="true" outlineLevel="0" collapsed="false">
      <c r="A316" s="24"/>
      <c r="B316" s="20" t="s">
        <v>492</v>
      </c>
      <c r="C316" s="37" t="s">
        <v>493</v>
      </c>
      <c r="D316" s="37" t="s">
        <v>540</v>
      </c>
      <c r="E316" s="84" t="n">
        <v>0.2</v>
      </c>
      <c r="F316" s="21" t="n">
        <f aca="false">INDEX('Perhitungan Upah'!$C$5:$C$13,MATCH(C316,'Perhitungan Upah'!$B$5:$B$13,0))</f>
        <v>174700</v>
      </c>
      <c r="G316" s="21" t="n">
        <f aca="false">E316*F316</f>
        <v>34940</v>
      </c>
      <c r="H316" s="85" t="s">
        <v>136</v>
      </c>
      <c r="I316" s="85" t="s">
        <v>134</v>
      </c>
      <c r="J316" s="85" t="s">
        <v>541</v>
      </c>
      <c r="K316" s="86" t="n">
        <f aca="false">$K$314</f>
        <v>40.5</v>
      </c>
      <c r="L316" s="86" t="n">
        <f aca="false">E316*K316</f>
        <v>8.1</v>
      </c>
    </row>
    <row r="317" customFormat="false" ht="15" hidden="false" customHeight="true" outlineLevel="0" collapsed="false">
      <c r="A317" s="24"/>
      <c r="B317" s="20" t="s">
        <v>487</v>
      </c>
      <c r="C317" s="37" t="s">
        <v>488</v>
      </c>
      <c r="D317" s="37" t="s">
        <v>540</v>
      </c>
      <c r="E317" s="84" t="n">
        <v>0.1</v>
      </c>
      <c r="F317" s="21" t="n">
        <f aca="false">INDEX('Perhitungan Upah'!$C$5:$C$13,MATCH(C317,'Perhitungan Upah'!$B$5:$B$13,0))</f>
        <v>130500</v>
      </c>
      <c r="G317" s="21" t="n">
        <f aca="false">E317*F317</f>
        <v>13050</v>
      </c>
      <c r="H317" s="85" t="s">
        <v>136</v>
      </c>
      <c r="I317" s="85" t="s">
        <v>134</v>
      </c>
      <c r="J317" s="85" t="s">
        <v>541</v>
      </c>
      <c r="K317" s="86" t="n">
        <f aca="false">$K$314</f>
        <v>40.5</v>
      </c>
      <c r="L317" s="86" t="n">
        <f aca="false">E317*K317</f>
        <v>4.05</v>
      </c>
    </row>
    <row r="318" customFormat="false" ht="15" hidden="false" customHeight="true" outlineLevel="0" collapsed="false">
      <c r="A318" s="87"/>
      <c r="B318" s="88" t="s">
        <v>542</v>
      </c>
      <c r="C318" s="87"/>
      <c r="D318" s="87"/>
      <c r="E318" s="87"/>
      <c r="F318" s="87"/>
      <c r="G318" s="89" t="n">
        <f aca="false">SUM(G316:G317)</f>
        <v>47990</v>
      </c>
      <c r="H318" s="24"/>
      <c r="I318" s="24"/>
      <c r="J318" s="24"/>
      <c r="K318" s="24"/>
      <c r="L318" s="24"/>
    </row>
    <row r="319" customFormat="false" ht="15" hidden="false" customHeight="true" outlineLevel="0" collapsed="false">
      <c r="A319" s="83" t="s">
        <v>543</v>
      </c>
      <c r="B319" s="25" t="s">
        <v>544</v>
      </c>
      <c r="C319" s="24"/>
      <c r="D319" s="24"/>
      <c r="E319" s="24"/>
      <c r="F319" s="24"/>
      <c r="G319" s="24"/>
      <c r="H319" s="24"/>
      <c r="I319" s="24"/>
      <c r="J319" s="24"/>
      <c r="K319" s="24"/>
      <c r="L319" s="24"/>
    </row>
    <row r="320" customFormat="false" ht="15" hidden="false" customHeight="true" outlineLevel="0" collapsed="false">
      <c r="A320" s="24"/>
      <c r="B320" s="20" t="s">
        <v>358</v>
      </c>
      <c r="C320" s="37" t="s">
        <v>357</v>
      </c>
      <c r="D320" s="37" t="s">
        <v>336</v>
      </c>
      <c r="E320" s="84" t="n">
        <v>0.38194</v>
      </c>
      <c r="F320" s="21" t="n">
        <f aca="false">VLOOKUP(C320,'Perhitungan Bahan'!$A$5:$J$61,10,FALSE())</f>
        <v>81500</v>
      </c>
      <c r="G320" s="21" t="n">
        <f aca="false">E320*F320</f>
        <v>31128.11</v>
      </c>
      <c r="H320" s="85" t="s">
        <v>136</v>
      </c>
      <c r="I320" s="85" t="s">
        <v>134</v>
      </c>
      <c r="J320" s="85" t="s">
        <v>282</v>
      </c>
      <c r="K320" s="86" t="n">
        <f aca="false">$K$314</f>
        <v>40.5</v>
      </c>
      <c r="L320" s="86" t="n">
        <f aca="false">E320*K320</f>
        <v>15.46857</v>
      </c>
    </row>
    <row r="321" customFormat="false" ht="15" hidden="false" customHeight="true" outlineLevel="0" collapsed="false">
      <c r="A321" s="24"/>
      <c r="B321" s="20" t="s">
        <v>361</v>
      </c>
      <c r="C321" s="37" t="s">
        <v>360</v>
      </c>
      <c r="D321" s="37" t="s">
        <v>322</v>
      </c>
      <c r="E321" s="84" t="n">
        <v>0.7875</v>
      </c>
      <c r="F321" s="21" t="n">
        <f aca="false">VLOOKUP(C321,'Perhitungan Bahan'!$A$5:$J$61,10,FALSE())</f>
        <v>25000</v>
      </c>
      <c r="G321" s="21" t="n">
        <f aca="false">E321*F321</f>
        <v>19687.5</v>
      </c>
      <c r="H321" s="85" t="s">
        <v>136</v>
      </c>
      <c r="I321" s="85" t="s">
        <v>134</v>
      </c>
      <c r="J321" s="85" t="s">
        <v>282</v>
      </c>
      <c r="K321" s="86" t="n">
        <f aca="false">$K$314</f>
        <v>40.5</v>
      </c>
      <c r="L321" s="86" t="n">
        <f aca="false">E321*K321</f>
        <v>31.89375</v>
      </c>
    </row>
    <row r="322" customFormat="false" ht="15" hidden="false" customHeight="true" outlineLevel="0" collapsed="false">
      <c r="A322" s="24"/>
      <c r="B322" s="20" t="s">
        <v>364</v>
      </c>
      <c r="C322" s="37" t="s">
        <v>363</v>
      </c>
      <c r="D322" s="37" t="s">
        <v>299</v>
      </c>
      <c r="E322" s="84" t="n">
        <v>0.3675</v>
      </c>
      <c r="F322" s="21" t="n">
        <f aca="false">VLOOKUP(C322,'Perhitungan Bahan'!$A$5:$J$61,10,FALSE())</f>
        <v>4250</v>
      </c>
      <c r="G322" s="21" t="n">
        <f aca="false">E322*F322</f>
        <v>1561.875</v>
      </c>
      <c r="H322" s="85" t="s">
        <v>136</v>
      </c>
      <c r="I322" s="85" t="s">
        <v>134</v>
      </c>
      <c r="J322" s="85" t="s">
        <v>282</v>
      </c>
      <c r="K322" s="86" t="n">
        <f aca="false">$K$314</f>
        <v>40.5</v>
      </c>
      <c r="L322" s="86" t="n">
        <f aca="false">E322*K322</f>
        <v>14.88375</v>
      </c>
    </row>
    <row r="323" customFormat="false" ht="15" hidden="false" customHeight="true" outlineLevel="0" collapsed="false">
      <c r="A323" s="87"/>
      <c r="B323" s="88" t="s">
        <v>71</v>
      </c>
      <c r="C323" s="87"/>
      <c r="D323" s="87"/>
      <c r="E323" s="87"/>
      <c r="F323" s="87"/>
      <c r="G323" s="89" t="n">
        <f aca="false">SUM(G320:G322)</f>
        <v>52377.485</v>
      </c>
      <c r="H323" s="24"/>
      <c r="I323" s="24"/>
      <c r="J323" s="24"/>
      <c r="K323" s="24"/>
      <c r="L323" s="24"/>
    </row>
    <row r="324" customFormat="false" ht="15" hidden="false" customHeight="true" outlineLevel="0" collapsed="false">
      <c r="A324" s="90" t="s">
        <v>545</v>
      </c>
      <c r="B324" s="91" t="s">
        <v>546</v>
      </c>
      <c r="C324" s="92"/>
      <c r="D324" s="92"/>
      <c r="E324" s="92"/>
      <c r="F324" s="92"/>
      <c r="G324" s="93" t="n">
        <f aca="false">G318+G323</f>
        <v>100367.485</v>
      </c>
      <c r="H324" s="24"/>
      <c r="I324" s="24"/>
      <c r="J324" s="24"/>
      <c r="K324" s="24"/>
      <c r="L324" s="24"/>
    </row>
    <row r="325" customFormat="false" ht="15" hidden="false" customHeight="true" outlineLevel="0" collapsed="false">
      <c r="A325" s="37" t="s">
        <v>547</v>
      </c>
      <c r="B325" s="20" t="s">
        <v>548</v>
      </c>
      <c r="C325" s="24"/>
      <c r="D325" s="24"/>
      <c r="E325" s="94" t="n">
        <f aca="false">Parameter!$B$4</f>
        <v>0.15</v>
      </c>
      <c r="F325" s="24"/>
      <c r="G325" s="21" t="n">
        <f aca="false">G324*E325</f>
        <v>15055.12275</v>
      </c>
      <c r="H325" s="24"/>
      <c r="I325" s="24"/>
      <c r="J325" s="24"/>
      <c r="K325" s="24"/>
      <c r="L325" s="24"/>
    </row>
    <row r="326" customFormat="false" ht="15" hidden="false" customHeight="true" outlineLevel="0" collapsed="false">
      <c r="A326" s="95" t="s">
        <v>549</v>
      </c>
      <c r="B326" s="96" t="s">
        <v>550</v>
      </c>
      <c r="C326" s="97"/>
      <c r="D326" s="97"/>
      <c r="E326" s="97"/>
      <c r="F326" s="97"/>
      <c r="G326" s="98" t="n">
        <f aca="false">G324+G325</f>
        <v>115422.60775</v>
      </c>
      <c r="H326" s="24"/>
      <c r="I326" s="24"/>
      <c r="J326" s="24"/>
      <c r="K326" s="24"/>
      <c r="L326" s="24"/>
    </row>
    <row r="328" customFormat="false" ht="23.25" hidden="false" customHeight="true" outlineLevel="0" collapsed="false">
      <c r="A328" s="35" t="s">
        <v>140</v>
      </c>
      <c r="B328" s="35" t="s">
        <v>574</v>
      </c>
      <c r="C328" s="35"/>
      <c r="D328" s="35"/>
      <c r="E328" s="35"/>
      <c r="F328" s="35"/>
      <c r="G328" s="35"/>
      <c r="H328" s="35"/>
      <c r="I328" s="35"/>
      <c r="J328" s="81" t="s">
        <v>537</v>
      </c>
      <c r="K328" s="82" t="n">
        <f aca="false">Volume!$B$44</f>
        <v>29.55</v>
      </c>
      <c r="L328" s="35"/>
    </row>
    <row r="329" customFormat="false" ht="15" hidden="false" customHeight="true" outlineLevel="0" collapsed="false">
      <c r="A329" s="83" t="s">
        <v>538</v>
      </c>
      <c r="B329" s="25" t="s">
        <v>539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</row>
    <row r="330" customFormat="false" ht="15" hidden="false" customHeight="true" outlineLevel="0" collapsed="false">
      <c r="A330" s="24"/>
      <c r="B330" s="20" t="s">
        <v>490</v>
      </c>
      <c r="C330" s="37" t="s">
        <v>491</v>
      </c>
      <c r="D330" s="37" t="s">
        <v>540</v>
      </c>
      <c r="E330" s="84" t="n">
        <v>0.3</v>
      </c>
      <c r="F330" s="21" t="n">
        <f aca="false">INDEX('Perhitungan Upah'!$C$5:$C$13,MATCH(C330,'Perhitungan Upah'!$B$5:$B$13,0))</f>
        <v>175300</v>
      </c>
      <c r="G330" s="21" t="n">
        <f aca="false">E330*F330</f>
        <v>52590</v>
      </c>
      <c r="H330" s="85" t="s">
        <v>140</v>
      </c>
      <c r="I330" s="85" t="s">
        <v>138</v>
      </c>
      <c r="J330" s="85" t="s">
        <v>541</v>
      </c>
      <c r="K330" s="86" t="n">
        <f aca="false">$K$328</f>
        <v>29.55</v>
      </c>
      <c r="L330" s="86" t="n">
        <f aca="false">E330*K330</f>
        <v>8.865</v>
      </c>
    </row>
    <row r="331" customFormat="false" ht="15" hidden="false" customHeight="true" outlineLevel="0" collapsed="false">
      <c r="A331" s="24"/>
      <c r="B331" s="20" t="s">
        <v>487</v>
      </c>
      <c r="C331" s="37" t="s">
        <v>488</v>
      </c>
      <c r="D331" s="37" t="s">
        <v>540</v>
      </c>
      <c r="E331" s="84" t="n">
        <v>0.17</v>
      </c>
      <c r="F331" s="21" t="n">
        <f aca="false">INDEX('Perhitungan Upah'!$C$5:$C$13,MATCH(C331,'Perhitungan Upah'!$B$5:$B$13,0))</f>
        <v>130500</v>
      </c>
      <c r="G331" s="21" t="n">
        <f aca="false">E331*F331</f>
        <v>22185</v>
      </c>
      <c r="H331" s="85" t="s">
        <v>140</v>
      </c>
      <c r="I331" s="85" t="s">
        <v>138</v>
      </c>
      <c r="J331" s="85" t="s">
        <v>541</v>
      </c>
      <c r="K331" s="86" t="n">
        <f aca="false">$K$328</f>
        <v>29.55</v>
      </c>
      <c r="L331" s="86" t="n">
        <f aca="false">E331*K331</f>
        <v>5.0235</v>
      </c>
    </row>
    <row r="332" customFormat="false" ht="15" hidden="false" customHeight="true" outlineLevel="0" collapsed="false">
      <c r="A332" s="87"/>
      <c r="B332" s="88" t="s">
        <v>542</v>
      </c>
      <c r="C332" s="87"/>
      <c r="D332" s="87"/>
      <c r="E332" s="87"/>
      <c r="F332" s="87"/>
      <c r="G332" s="89" t="n">
        <f aca="false">SUM(G330:G331)</f>
        <v>74775</v>
      </c>
      <c r="H332" s="24"/>
      <c r="I332" s="24"/>
      <c r="J332" s="24"/>
      <c r="K332" s="24"/>
      <c r="L332" s="24"/>
    </row>
    <row r="333" customFormat="false" ht="15" hidden="false" customHeight="true" outlineLevel="0" collapsed="false">
      <c r="A333" s="83" t="s">
        <v>543</v>
      </c>
      <c r="B333" s="25" t="s">
        <v>544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 customFormat="false" ht="15" hidden="false" customHeight="true" outlineLevel="0" collapsed="false">
      <c r="A334" s="24"/>
      <c r="B334" s="20" t="s">
        <v>141</v>
      </c>
      <c r="C334" s="37" t="s">
        <v>366</v>
      </c>
      <c r="D334" s="37" t="s">
        <v>81</v>
      </c>
      <c r="E334" s="84" t="n">
        <v>1.05</v>
      </c>
      <c r="F334" s="21" t="n">
        <f aca="false">VLOOKUP(C334,'Perhitungan Bahan'!$A$5:$J$61,10,FALSE())</f>
        <v>135416.666666667</v>
      </c>
      <c r="G334" s="21" t="n">
        <f aca="false">E334*F334</f>
        <v>142187.5</v>
      </c>
      <c r="H334" s="85" t="s">
        <v>140</v>
      </c>
      <c r="I334" s="85" t="s">
        <v>138</v>
      </c>
      <c r="J334" s="85" t="s">
        <v>282</v>
      </c>
      <c r="K334" s="86" t="n">
        <f aca="false">$K$328</f>
        <v>29.55</v>
      </c>
      <c r="L334" s="86" t="n">
        <f aca="false">E334*K334</f>
        <v>31.0275</v>
      </c>
    </row>
    <row r="335" customFormat="false" ht="15" hidden="false" customHeight="true" outlineLevel="0" collapsed="false">
      <c r="A335" s="24"/>
      <c r="B335" s="20" t="s">
        <v>297</v>
      </c>
      <c r="C335" s="37" t="s">
        <v>296</v>
      </c>
      <c r="D335" s="37" t="s">
        <v>299</v>
      </c>
      <c r="E335" s="84" t="n">
        <v>10.5</v>
      </c>
      <c r="F335" s="21" t="n">
        <f aca="false">VLOOKUP(C335,'Perhitungan Bahan'!$A$5:$J$61,10,FALSE())</f>
        <v>1575</v>
      </c>
      <c r="G335" s="21" t="n">
        <f aca="false">E335*F335</f>
        <v>16537.5</v>
      </c>
      <c r="H335" s="85" t="s">
        <v>140</v>
      </c>
      <c r="I335" s="85" t="s">
        <v>138</v>
      </c>
      <c r="J335" s="85" t="s">
        <v>282</v>
      </c>
      <c r="K335" s="86" t="n">
        <f aca="false">$K$328</f>
        <v>29.55</v>
      </c>
      <c r="L335" s="86" t="n">
        <f aca="false">E335*K335</f>
        <v>310.275</v>
      </c>
    </row>
    <row r="336" customFormat="false" ht="15" hidden="false" customHeight="true" outlineLevel="0" collapsed="false">
      <c r="A336" s="24"/>
      <c r="B336" s="20" t="s">
        <v>305</v>
      </c>
      <c r="C336" s="37" t="s">
        <v>304</v>
      </c>
      <c r="D336" s="37" t="s">
        <v>93</v>
      </c>
      <c r="E336" s="84" t="n">
        <v>0.0495</v>
      </c>
      <c r="F336" s="21" t="n">
        <f aca="false">VLOOKUP(C336,'Perhitungan Bahan'!$A$5:$J$61,10,FALSE())</f>
        <v>295200</v>
      </c>
      <c r="G336" s="21" t="n">
        <f aca="false">E336*F336</f>
        <v>14612.4</v>
      </c>
      <c r="H336" s="85" t="s">
        <v>140</v>
      </c>
      <c r="I336" s="85" t="s">
        <v>138</v>
      </c>
      <c r="J336" s="85" t="s">
        <v>282</v>
      </c>
      <c r="K336" s="86" t="n">
        <f aca="false">$K$328</f>
        <v>29.55</v>
      </c>
      <c r="L336" s="86" t="n">
        <f aca="false">E336*K336</f>
        <v>1.462725</v>
      </c>
    </row>
    <row r="337" customFormat="false" ht="15" hidden="false" customHeight="true" outlineLevel="0" collapsed="false">
      <c r="A337" s="24"/>
      <c r="B337" s="20" t="s">
        <v>380</v>
      </c>
      <c r="C337" s="37" t="s">
        <v>379</v>
      </c>
      <c r="D337" s="37" t="s">
        <v>299</v>
      </c>
      <c r="E337" s="84" t="n">
        <v>0.3</v>
      </c>
      <c r="F337" s="21" t="n">
        <f aca="false">VLOOKUP(C337,'Perhitungan Bahan'!$A$5:$J$61,10,FALSE())</f>
        <v>15000</v>
      </c>
      <c r="G337" s="21" t="n">
        <f aca="false">E337*F337</f>
        <v>4500</v>
      </c>
      <c r="H337" s="85" t="s">
        <v>140</v>
      </c>
      <c r="I337" s="85" t="s">
        <v>138</v>
      </c>
      <c r="J337" s="85" t="s">
        <v>282</v>
      </c>
      <c r="K337" s="86" t="n">
        <f aca="false">$K$328</f>
        <v>29.55</v>
      </c>
      <c r="L337" s="86" t="n">
        <f aca="false">E337*K337</f>
        <v>8.865</v>
      </c>
    </row>
    <row r="338" customFormat="false" ht="15" hidden="false" customHeight="true" outlineLevel="0" collapsed="false">
      <c r="A338" s="87"/>
      <c r="B338" s="88" t="s">
        <v>71</v>
      </c>
      <c r="C338" s="87"/>
      <c r="D338" s="87"/>
      <c r="E338" s="87"/>
      <c r="F338" s="87"/>
      <c r="G338" s="89" t="n">
        <f aca="false">SUM(G334:G337)</f>
        <v>177837.4</v>
      </c>
      <c r="H338" s="24"/>
      <c r="I338" s="24"/>
      <c r="J338" s="24"/>
      <c r="K338" s="24"/>
      <c r="L338" s="24"/>
    </row>
    <row r="339" customFormat="false" ht="15" hidden="false" customHeight="true" outlineLevel="0" collapsed="false">
      <c r="A339" s="90" t="s">
        <v>545</v>
      </c>
      <c r="B339" s="91" t="s">
        <v>546</v>
      </c>
      <c r="C339" s="92"/>
      <c r="D339" s="92"/>
      <c r="E339" s="92"/>
      <c r="F339" s="92"/>
      <c r="G339" s="93" t="n">
        <f aca="false">G332+G338</f>
        <v>252612.4</v>
      </c>
      <c r="H339" s="24"/>
      <c r="I339" s="24"/>
      <c r="J339" s="24"/>
      <c r="K339" s="24"/>
      <c r="L339" s="24"/>
    </row>
    <row r="340" customFormat="false" ht="15" hidden="false" customHeight="true" outlineLevel="0" collapsed="false">
      <c r="A340" s="37" t="s">
        <v>547</v>
      </c>
      <c r="B340" s="20" t="s">
        <v>548</v>
      </c>
      <c r="C340" s="24"/>
      <c r="D340" s="24"/>
      <c r="E340" s="94" t="n">
        <f aca="false">Parameter!$B$4</f>
        <v>0.15</v>
      </c>
      <c r="F340" s="24"/>
      <c r="G340" s="21" t="n">
        <f aca="false">G339*E340</f>
        <v>37891.86</v>
      </c>
      <c r="H340" s="24"/>
      <c r="I340" s="24"/>
      <c r="J340" s="24"/>
      <c r="K340" s="24"/>
      <c r="L340" s="24"/>
    </row>
    <row r="341" customFormat="false" ht="15" hidden="false" customHeight="true" outlineLevel="0" collapsed="false">
      <c r="A341" s="95" t="s">
        <v>549</v>
      </c>
      <c r="B341" s="96" t="s">
        <v>550</v>
      </c>
      <c r="C341" s="97"/>
      <c r="D341" s="97"/>
      <c r="E341" s="97"/>
      <c r="F341" s="97"/>
      <c r="G341" s="98" t="n">
        <f aca="false">G339+G340</f>
        <v>290504.26</v>
      </c>
      <c r="H341" s="24"/>
      <c r="I341" s="24"/>
      <c r="J341" s="24"/>
      <c r="K341" s="24"/>
      <c r="L341" s="24"/>
    </row>
    <row r="343" customFormat="false" ht="23.25" hidden="false" customHeight="true" outlineLevel="0" collapsed="false">
      <c r="A343" s="35" t="s">
        <v>142</v>
      </c>
      <c r="B343" s="35" t="s">
        <v>575</v>
      </c>
      <c r="C343" s="35"/>
      <c r="D343" s="35"/>
      <c r="E343" s="35"/>
      <c r="F343" s="35"/>
      <c r="G343" s="35"/>
      <c r="H343" s="35"/>
      <c r="I343" s="35"/>
      <c r="J343" s="81" t="s">
        <v>537</v>
      </c>
      <c r="K343" s="82" t="n">
        <f aca="false">Volume!$B$45</f>
        <v>61</v>
      </c>
      <c r="L343" s="35"/>
    </row>
    <row r="344" customFormat="false" ht="15" hidden="false" customHeight="true" outlineLevel="0" collapsed="false">
      <c r="A344" s="83" t="s">
        <v>538</v>
      </c>
      <c r="B344" s="25" t="s">
        <v>539</v>
      </c>
      <c r="C344" s="24"/>
      <c r="D344" s="24"/>
      <c r="E344" s="24"/>
      <c r="F344" s="24"/>
      <c r="G344" s="24"/>
      <c r="H344" s="24"/>
      <c r="I344" s="24"/>
      <c r="J344" s="24"/>
      <c r="K344" s="24"/>
      <c r="L344" s="24"/>
    </row>
    <row r="345" customFormat="false" ht="15" hidden="false" customHeight="true" outlineLevel="0" collapsed="false">
      <c r="A345" s="24"/>
      <c r="B345" s="20" t="s">
        <v>490</v>
      </c>
      <c r="C345" s="37" t="s">
        <v>491</v>
      </c>
      <c r="D345" s="37" t="s">
        <v>540</v>
      </c>
      <c r="E345" s="84" t="n">
        <v>0.08</v>
      </c>
      <c r="F345" s="21" t="n">
        <f aca="false">INDEX('Perhitungan Upah'!$C$5:$C$13,MATCH(C345,'Perhitungan Upah'!$B$5:$B$13,0))</f>
        <v>175300</v>
      </c>
      <c r="G345" s="21" t="n">
        <f aca="false">E345*F345</f>
        <v>14024</v>
      </c>
      <c r="H345" s="85" t="s">
        <v>142</v>
      </c>
      <c r="I345" s="85" t="s">
        <v>138</v>
      </c>
      <c r="J345" s="85" t="s">
        <v>541</v>
      </c>
      <c r="K345" s="86" t="n">
        <f aca="false">$K$343</f>
        <v>61</v>
      </c>
      <c r="L345" s="86" t="n">
        <f aca="false">E345*K345</f>
        <v>4.88</v>
      </c>
    </row>
    <row r="346" customFormat="false" ht="15" hidden="false" customHeight="true" outlineLevel="0" collapsed="false">
      <c r="A346" s="24"/>
      <c r="B346" s="20" t="s">
        <v>487</v>
      </c>
      <c r="C346" s="37" t="s">
        <v>488</v>
      </c>
      <c r="D346" s="37" t="s">
        <v>540</v>
      </c>
      <c r="E346" s="84" t="n">
        <v>0.045</v>
      </c>
      <c r="F346" s="21" t="n">
        <f aca="false">INDEX('Perhitungan Upah'!$C$5:$C$13,MATCH(C346,'Perhitungan Upah'!$B$5:$B$13,0))</f>
        <v>130500</v>
      </c>
      <c r="G346" s="21" t="n">
        <f aca="false">E346*F346</f>
        <v>5872.5</v>
      </c>
      <c r="H346" s="85" t="s">
        <v>142</v>
      </c>
      <c r="I346" s="85" t="s">
        <v>138</v>
      </c>
      <c r="J346" s="85" t="s">
        <v>541</v>
      </c>
      <c r="K346" s="86" t="n">
        <f aca="false">$K$343</f>
        <v>61</v>
      </c>
      <c r="L346" s="86" t="n">
        <f aca="false">E346*K346</f>
        <v>2.745</v>
      </c>
    </row>
    <row r="347" customFormat="false" ht="15" hidden="false" customHeight="true" outlineLevel="0" collapsed="false">
      <c r="A347" s="87"/>
      <c r="B347" s="88" t="s">
        <v>542</v>
      </c>
      <c r="C347" s="87"/>
      <c r="D347" s="87"/>
      <c r="E347" s="87"/>
      <c r="F347" s="87"/>
      <c r="G347" s="89" t="n">
        <f aca="false">SUM(G345:G346)</f>
        <v>19896.5</v>
      </c>
      <c r="H347" s="24"/>
      <c r="I347" s="24"/>
      <c r="J347" s="24"/>
      <c r="K347" s="24"/>
      <c r="L347" s="24"/>
    </row>
    <row r="348" customFormat="false" ht="15" hidden="false" customHeight="true" outlineLevel="0" collapsed="false">
      <c r="A348" s="83" t="s">
        <v>543</v>
      </c>
      <c r="B348" s="25" t="s">
        <v>544</v>
      </c>
      <c r="C348" s="24"/>
      <c r="D348" s="24"/>
      <c r="E348" s="24"/>
      <c r="F348" s="24"/>
      <c r="G348" s="24"/>
      <c r="H348" s="24"/>
      <c r="I348" s="24"/>
      <c r="J348" s="24"/>
      <c r="K348" s="24"/>
      <c r="L348" s="24"/>
    </row>
    <row r="349" customFormat="false" ht="15" hidden="false" customHeight="true" outlineLevel="0" collapsed="false">
      <c r="A349" s="24"/>
      <c r="B349" s="20" t="s">
        <v>141</v>
      </c>
      <c r="C349" s="37" t="s">
        <v>366</v>
      </c>
      <c r="D349" s="37" t="s">
        <v>81</v>
      </c>
      <c r="E349" s="84" t="n">
        <v>0.105</v>
      </c>
      <c r="F349" s="21" t="n">
        <f aca="false">VLOOKUP(C349,'Perhitungan Bahan'!$A$5:$J$61,10,FALSE())</f>
        <v>135416.666666667</v>
      </c>
      <c r="G349" s="21" t="n">
        <f aca="false">E349*F349</f>
        <v>14218.75</v>
      </c>
      <c r="H349" s="85" t="s">
        <v>142</v>
      </c>
      <c r="I349" s="85" t="s">
        <v>138</v>
      </c>
      <c r="J349" s="85" t="s">
        <v>282</v>
      </c>
      <c r="K349" s="86" t="n">
        <f aca="false">$K$343</f>
        <v>61</v>
      </c>
      <c r="L349" s="86" t="n">
        <f aca="false">E349*K349</f>
        <v>6.405</v>
      </c>
    </row>
    <row r="350" customFormat="false" ht="15" hidden="false" customHeight="true" outlineLevel="0" collapsed="false">
      <c r="A350" s="24"/>
      <c r="B350" s="20" t="s">
        <v>297</v>
      </c>
      <c r="C350" s="37" t="s">
        <v>296</v>
      </c>
      <c r="D350" s="37" t="s">
        <v>299</v>
      </c>
      <c r="E350" s="84" t="n">
        <v>1.05</v>
      </c>
      <c r="F350" s="21" t="n">
        <f aca="false">VLOOKUP(C350,'Perhitungan Bahan'!$A$5:$J$61,10,FALSE())</f>
        <v>1575</v>
      </c>
      <c r="G350" s="21" t="n">
        <f aca="false">E350*F350</f>
        <v>1653.75</v>
      </c>
      <c r="H350" s="85" t="s">
        <v>142</v>
      </c>
      <c r="I350" s="85" t="s">
        <v>138</v>
      </c>
      <c r="J350" s="85" t="s">
        <v>282</v>
      </c>
      <c r="K350" s="86" t="n">
        <f aca="false">$K$343</f>
        <v>61</v>
      </c>
      <c r="L350" s="86" t="n">
        <f aca="false">E350*K350</f>
        <v>64.05</v>
      </c>
    </row>
    <row r="351" customFormat="false" ht="15" hidden="false" customHeight="true" outlineLevel="0" collapsed="false">
      <c r="A351" s="24"/>
      <c r="B351" s="20" t="s">
        <v>380</v>
      </c>
      <c r="C351" s="37" t="s">
        <v>379</v>
      </c>
      <c r="D351" s="37" t="s">
        <v>299</v>
      </c>
      <c r="E351" s="84" t="n">
        <v>0.05</v>
      </c>
      <c r="F351" s="21" t="n">
        <f aca="false">VLOOKUP(C351,'Perhitungan Bahan'!$A$5:$J$61,10,FALSE())</f>
        <v>15000</v>
      </c>
      <c r="G351" s="21" t="n">
        <f aca="false">E351*F351</f>
        <v>750</v>
      </c>
      <c r="H351" s="85" t="s">
        <v>142</v>
      </c>
      <c r="I351" s="85" t="s">
        <v>138</v>
      </c>
      <c r="J351" s="85" t="s">
        <v>282</v>
      </c>
      <c r="K351" s="86" t="n">
        <f aca="false">$K$343</f>
        <v>61</v>
      </c>
      <c r="L351" s="86" t="n">
        <f aca="false">E351*K351</f>
        <v>3.05</v>
      </c>
    </row>
    <row r="352" customFormat="false" ht="15" hidden="false" customHeight="true" outlineLevel="0" collapsed="false">
      <c r="A352" s="87"/>
      <c r="B352" s="88" t="s">
        <v>71</v>
      </c>
      <c r="C352" s="87"/>
      <c r="D352" s="87"/>
      <c r="E352" s="87"/>
      <c r="F352" s="87"/>
      <c r="G352" s="89" t="n">
        <f aca="false">SUM(G349:G351)</f>
        <v>16622.5</v>
      </c>
      <c r="H352" s="24"/>
      <c r="I352" s="24"/>
      <c r="J352" s="24"/>
      <c r="K352" s="24"/>
      <c r="L352" s="24"/>
    </row>
    <row r="353" customFormat="false" ht="15" hidden="false" customHeight="true" outlineLevel="0" collapsed="false">
      <c r="A353" s="90" t="s">
        <v>545</v>
      </c>
      <c r="B353" s="91" t="s">
        <v>546</v>
      </c>
      <c r="C353" s="92"/>
      <c r="D353" s="92"/>
      <c r="E353" s="92"/>
      <c r="F353" s="92"/>
      <c r="G353" s="93" t="n">
        <f aca="false">G347+G352</f>
        <v>36519</v>
      </c>
      <c r="H353" s="24"/>
      <c r="I353" s="24"/>
      <c r="J353" s="24"/>
      <c r="K353" s="24"/>
      <c r="L353" s="24"/>
    </row>
    <row r="354" customFormat="false" ht="15" hidden="false" customHeight="true" outlineLevel="0" collapsed="false">
      <c r="A354" s="37" t="s">
        <v>547</v>
      </c>
      <c r="B354" s="20" t="s">
        <v>548</v>
      </c>
      <c r="C354" s="24"/>
      <c r="D354" s="24"/>
      <c r="E354" s="94" t="n">
        <f aca="false">Parameter!$B$4</f>
        <v>0.15</v>
      </c>
      <c r="F354" s="24"/>
      <c r="G354" s="21" t="n">
        <f aca="false">G353*E354</f>
        <v>5477.85</v>
      </c>
      <c r="H354" s="24"/>
      <c r="I354" s="24"/>
      <c r="J354" s="24"/>
      <c r="K354" s="24"/>
      <c r="L354" s="24"/>
    </row>
    <row r="355" customFormat="false" ht="15" hidden="false" customHeight="true" outlineLevel="0" collapsed="false">
      <c r="A355" s="95" t="s">
        <v>549</v>
      </c>
      <c r="B355" s="96" t="s">
        <v>550</v>
      </c>
      <c r="C355" s="97"/>
      <c r="D355" s="97"/>
      <c r="E355" s="97"/>
      <c r="F355" s="97"/>
      <c r="G355" s="98" t="n">
        <f aca="false">G353+G354</f>
        <v>41996.85</v>
      </c>
      <c r="H355" s="24"/>
      <c r="I355" s="24"/>
      <c r="J355" s="24"/>
      <c r="K355" s="24"/>
      <c r="L355" s="24"/>
    </row>
    <row r="357" customFormat="false" ht="23.25" hidden="false" customHeight="true" outlineLevel="0" collapsed="false">
      <c r="A357" s="35" t="s">
        <v>144</v>
      </c>
      <c r="B357" s="35" t="s">
        <v>576</v>
      </c>
      <c r="C357" s="35"/>
      <c r="D357" s="35"/>
      <c r="E357" s="35"/>
      <c r="F357" s="35"/>
      <c r="G357" s="35"/>
      <c r="H357" s="35"/>
      <c r="I357" s="35"/>
      <c r="J357" s="81" t="s">
        <v>537</v>
      </c>
      <c r="K357" s="82" t="n">
        <f aca="false">Volume!$B$20</f>
        <v>3</v>
      </c>
      <c r="L357" s="35"/>
    </row>
    <row r="358" customFormat="false" ht="15" hidden="false" customHeight="true" outlineLevel="0" collapsed="false">
      <c r="A358" s="83" t="s">
        <v>538</v>
      </c>
      <c r="B358" s="25" t="s">
        <v>539</v>
      </c>
      <c r="C358" s="24"/>
      <c r="D358" s="24"/>
      <c r="E358" s="24"/>
      <c r="F358" s="24"/>
      <c r="G358" s="24"/>
      <c r="H358" s="24"/>
      <c r="I358" s="24"/>
      <c r="J358" s="24"/>
      <c r="K358" s="24"/>
      <c r="L358" s="24"/>
    </row>
    <row r="359" customFormat="false" ht="15" hidden="false" customHeight="true" outlineLevel="0" collapsed="false">
      <c r="A359" s="24"/>
      <c r="B359" s="20" t="s">
        <v>490</v>
      </c>
      <c r="C359" s="37" t="s">
        <v>491</v>
      </c>
      <c r="D359" s="37" t="s">
        <v>540</v>
      </c>
      <c r="E359" s="84" t="n">
        <v>0.26</v>
      </c>
      <c r="F359" s="21" t="n">
        <f aca="false">INDEX('Perhitungan Upah'!$C$5:$C$13,MATCH(C359,'Perhitungan Upah'!$B$5:$B$13,0))</f>
        <v>175300</v>
      </c>
      <c r="G359" s="21" t="n">
        <f aca="false">E359*F359</f>
        <v>45578</v>
      </c>
      <c r="H359" s="85" t="s">
        <v>144</v>
      </c>
      <c r="I359" s="85" t="s">
        <v>138</v>
      </c>
      <c r="J359" s="85" t="s">
        <v>541</v>
      </c>
      <c r="K359" s="86" t="n">
        <f aca="false">$K$357</f>
        <v>3</v>
      </c>
      <c r="L359" s="86" t="n">
        <f aca="false">E359*K359</f>
        <v>0.78</v>
      </c>
    </row>
    <row r="360" customFormat="false" ht="15" hidden="false" customHeight="true" outlineLevel="0" collapsed="false">
      <c r="A360" s="24"/>
      <c r="B360" s="20" t="s">
        <v>487</v>
      </c>
      <c r="C360" s="37" t="s">
        <v>488</v>
      </c>
      <c r="D360" s="37" t="s">
        <v>540</v>
      </c>
      <c r="E360" s="84" t="n">
        <v>0.15</v>
      </c>
      <c r="F360" s="21" t="n">
        <f aca="false">INDEX('Perhitungan Upah'!$C$5:$C$13,MATCH(C360,'Perhitungan Upah'!$B$5:$B$13,0))</f>
        <v>130500</v>
      </c>
      <c r="G360" s="21" t="n">
        <f aca="false">E360*F360</f>
        <v>19575</v>
      </c>
      <c r="H360" s="85" t="s">
        <v>144</v>
      </c>
      <c r="I360" s="85" t="s">
        <v>138</v>
      </c>
      <c r="J360" s="85" t="s">
        <v>541</v>
      </c>
      <c r="K360" s="86" t="n">
        <f aca="false">$K$357</f>
        <v>3</v>
      </c>
      <c r="L360" s="86" t="n">
        <f aca="false">E360*K360</f>
        <v>0.45</v>
      </c>
    </row>
    <row r="361" customFormat="false" ht="15" hidden="false" customHeight="true" outlineLevel="0" collapsed="false">
      <c r="A361" s="87"/>
      <c r="B361" s="88" t="s">
        <v>542</v>
      </c>
      <c r="C361" s="87"/>
      <c r="D361" s="87"/>
      <c r="E361" s="87"/>
      <c r="F361" s="87"/>
      <c r="G361" s="89" t="n">
        <f aca="false">SUM(G359:G360)</f>
        <v>65153</v>
      </c>
      <c r="H361" s="24"/>
      <c r="I361" s="24"/>
      <c r="J361" s="24"/>
      <c r="K361" s="24"/>
      <c r="L361" s="24"/>
    </row>
    <row r="362" customFormat="false" ht="15" hidden="false" customHeight="true" outlineLevel="0" collapsed="false">
      <c r="A362" s="83" t="s">
        <v>543</v>
      </c>
      <c r="B362" s="25" t="s">
        <v>544</v>
      </c>
      <c r="C362" s="24"/>
      <c r="D362" s="24"/>
      <c r="E362" s="24"/>
      <c r="F362" s="24"/>
      <c r="G362" s="24"/>
      <c r="H362" s="24"/>
      <c r="I362" s="24"/>
      <c r="J362" s="24"/>
      <c r="K362" s="24"/>
      <c r="L362" s="24"/>
    </row>
    <row r="363" customFormat="false" ht="15" hidden="false" customHeight="true" outlineLevel="0" collapsed="false">
      <c r="A363" s="24"/>
      <c r="B363" s="20" t="s">
        <v>372</v>
      </c>
      <c r="C363" s="37" t="s">
        <v>371</v>
      </c>
      <c r="D363" s="37" t="s">
        <v>81</v>
      </c>
      <c r="E363" s="84" t="n">
        <v>1.1</v>
      </c>
      <c r="F363" s="21" t="n">
        <f aca="false">VLOOKUP(C363,'Perhitungan Bahan'!$A$5:$J$61,10,FALSE())</f>
        <v>85000</v>
      </c>
      <c r="G363" s="21" t="n">
        <f aca="false">E363*F363</f>
        <v>93500</v>
      </c>
      <c r="H363" s="85" t="s">
        <v>144</v>
      </c>
      <c r="I363" s="85" t="s">
        <v>138</v>
      </c>
      <c r="J363" s="85" t="s">
        <v>282</v>
      </c>
      <c r="K363" s="86" t="n">
        <f aca="false">$K$357</f>
        <v>3</v>
      </c>
      <c r="L363" s="86" t="n">
        <f aca="false">E363*K363</f>
        <v>3.3</v>
      </c>
    </row>
    <row r="364" customFormat="false" ht="15" hidden="false" customHeight="true" outlineLevel="0" collapsed="false">
      <c r="A364" s="24"/>
      <c r="B364" s="20" t="s">
        <v>297</v>
      </c>
      <c r="C364" s="37" t="s">
        <v>296</v>
      </c>
      <c r="D364" s="37" t="s">
        <v>299</v>
      </c>
      <c r="E364" s="84" t="n">
        <v>10.5</v>
      </c>
      <c r="F364" s="21" t="n">
        <f aca="false">VLOOKUP(C364,'Perhitungan Bahan'!$A$5:$J$61,10,FALSE())</f>
        <v>1575</v>
      </c>
      <c r="G364" s="21" t="n">
        <f aca="false">E364*F364</f>
        <v>16537.5</v>
      </c>
      <c r="H364" s="85" t="s">
        <v>144</v>
      </c>
      <c r="I364" s="85" t="s">
        <v>138</v>
      </c>
      <c r="J364" s="85" t="s">
        <v>282</v>
      </c>
      <c r="K364" s="86" t="n">
        <f aca="false">$K$357</f>
        <v>3</v>
      </c>
      <c r="L364" s="86" t="n">
        <f aca="false">E364*K364</f>
        <v>31.5</v>
      </c>
    </row>
    <row r="365" customFormat="false" ht="15" hidden="false" customHeight="true" outlineLevel="0" collapsed="false">
      <c r="A365" s="24"/>
      <c r="B365" s="20" t="s">
        <v>305</v>
      </c>
      <c r="C365" s="37" t="s">
        <v>304</v>
      </c>
      <c r="D365" s="37" t="s">
        <v>93</v>
      </c>
      <c r="E365" s="84" t="n">
        <v>0.0495</v>
      </c>
      <c r="F365" s="21" t="n">
        <f aca="false">VLOOKUP(C365,'Perhitungan Bahan'!$A$5:$J$61,10,FALSE())</f>
        <v>295200</v>
      </c>
      <c r="G365" s="21" t="n">
        <f aca="false">E365*F365</f>
        <v>14612.4</v>
      </c>
      <c r="H365" s="85" t="s">
        <v>144</v>
      </c>
      <c r="I365" s="85" t="s">
        <v>138</v>
      </c>
      <c r="J365" s="85" t="s">
        <v>282</v>
      </c>
      <c r="K365" s="86" t="n">
        <f aca="false">$K$357</f>
        <v>3</v>
      </c>
      <c r="L365" s="86" t="n">
        <f aca="false">E365*K365</f>
        <v>0.1485</v>
      </c>
    </row>
    <row r="366" customFormat="false" ht="15" hidden="false" customHeight="true" outlineLevel="0" collapsed="false">
      <c r="A366" s="24"/>
      <c r="B366" s="20" t="s">
        <v>380</v>
      </c>
      <c r="C366" s="37" t="s">
        <v>379</v>
      </c>
      <c r="D366" s="37" t="s">
        <v>299</v>
      </c>
      <c r="E366" s="84" t="n">
        <v>1</v>
      </c>
      <c r="F366" s="21" t="n">
        <f aca="false">VLOOKUP(C366,'Perhitungan Bahan'!$A$5:$J$61,10,FALSE())</f>
        <v>15000</v>
      </c>
      <c r="G366" s="21" t="n">
        <f aca="false">E366*F366</f>
        <v>15000</v>
      </c>
      <c r="H366" s="85" t="s">
        <v>144</v>
      </c>
      <c r="I366" s="85" t="s">
        <v>138</v>
      </c>
      <c r="J366" s="85" t="s">
        <v>282</v>
      </c>
      <c r="K366" s="86" t="n">
        <f aca="false">$K$357</f>
        <v>3</v>
      </c>
      <c r="L366" s="86" t="n">
        <f aca="false">E366*K366</f>
        <v>3</v>
      </c>
    </row>
    <row r="367" customFormat="false" ht="15" hidden="false" customHeight="true" outlineLevel="0" collapsed="false">
      <c r="A367" s="87"/>
      <c r="B367" s="88" t="s">
        <v>71</v>
      </c>
      <c r="C367" s="87"/>
      <c r="D367" s="87"/>
      <c r="E367" s="87"/>
      <c r="F367" s="87"/>
      <c r="G367" s="89" t="n">
        <f aca="false">SUM(G363:G366)</f>
        <v>139649.9</v>
      </c>
      <c r="H367" s="24"/>
      <c r="I367" s="24"/>
      <c r="J367" s="24"/>
      <c r="K367" s="24"/>
      <c r="L367" s="24"/>
    </row>
    <row r="368" customFormat="false" ht="15" hidden="false" customHeight="true" outlineLevel="0" collapsed="false">
      <c r="A368" s="90" t="s">
        <v>545</v>
      </c>
      <c r="B368" s="91" t="s">
        <v>546</v>
      </c>
      <c r="C368" s="92"/>
      <c r="D368" s="92"/>
      <c r="E368" s="92"/>
      <c r="F368" s="92"/>
      <c r="G368" s="93" t="n">
        <f aca="false">G361+G367</f>
        <v>204802.9</v>
      </c>
      <c r="H368" s="24"/>
      <c r="I368" s="24"/>
      <c r="J368" s="24"/>
      <c r="K368" s="24"/>
      <c r="L368" s="24"/>
    </row>
    <row r="369" customFormat="false" ht="15" hidden="false" customHeight="true" outlineLevel="0" collapsed="false">
      <c r="A369" s="37" t="s">
        <v>547</v>
      </c>
      <c r="B369" s="20" t="s">
        <v>548</v>
      </c>
      <c r="C369" s="24"/>
      <c r="D369" s="24"/>
      <c r="E369" s="94" t="n">
        <f aca="false">Parameter!$B$4</f>
        <v>0.15</v>
      </c>
      <c r="F369" s="24"/>
      <c r="G369" s="21" t="n">
        <f aca="false">G368*E369</f>
        <v>30720.435</v>
      </c>
      <c r="H369" s="24"/>
      <c r="I369" s="24"/>
      <c r="J369" s="24"/>
      <c r="K369" s="24"/>
      <c r="L369" s="24"/>
    </row>
    <row r="370" customFormat="false" ht="15" hidden="false" customHeight="true" outlineLevel="0" collapsed="false">
      <c r="A370" s="95" t="s">
        <v>549</v>
      </c>
      <c r="B370" s="96" t="s">
        <v>550</v>
      </c>
      <c r="C370" s="97"/>
      <c r="D370" s="97"/>
      <c r="E370" s="97"/>
      <c r="F370" s="97"/>
      <c r="G370" s="98" t="n">
        <f aca="false">G368+G369</f>
        <v>235523.335</v>
      </c>
      <c r="H370" s="24"/>
      <c r="I370" s="24"/>
      <c r="J370" s="24"/>
      <c r="K370" s="24"/>
      <c r="L370" s="24"/>
    </row>
    <row r="372" customFormat="false" ht="23.25" hidden="false" customHeight="true" outlineLevel="0" collapsed="false">
      <c r="A372" s="35" t="s">
        <v>146</v>
      </c>
      <c r="B372" s="35" t="s">
        <v>577</v>
      </c>
      <c r="C372" s="35"/>
      <c r="D372" s="35"/>
      <c r="E372" s="35"/>
      <c r="F372" s="35"/>
      <c r="G372" s="35"/>
      <c r="H372" s="35"/>
      <c r="I372" s="35"/>
      <c r="J372" s="81" t="s">
        <v>537</v>
      </c>
      <c r="K372" s="82" t="n">
        <f aca="false">Volume!$B$21</f>
        <v>15.4</v>
      </c>
      <c r="L372" s="35"/>
    </row>
    <row r="373" customFormat="false" ht="15" hidden="false" customHeight="true" outlineLevel="0" collapsed="false">
      <c r="A373" s="83" t="s">
        <v>538</v>
      </c>
      <c r="B373" s="25" t="s">
        <v>539</v>
      </c>
      <c r="C373" s="24"/>
      <c r="D373" s="24"/>
      <c r="E373" s="24"/>
      <c r="F373" s="24"/>
      <c r="G373" s="24"/>
      <c r="H373" s="24"/>
      <c r="I373" s="24"/>
      <c r="J373" s="24"/>
      <c r="K373" s="24"/>
      <c r="L373" s="24"/>
    </row>
    <row r="374" customFormat="false" ht="15" hidden="false" customHeight="true" outlineLevel="0" collapsed="false">
      <c r="A374" s="24"/>
      <c r="B374" s="20" t="s">
        <v>490</v>
      </c>
      <c r="C374" s="37" t="s">
        <v>491</v>
      </c>
      <c r="D374" s="37" t="s">
        <v>540</v>
      </c>
      <c r="E374" s="84" t="n">
        <v>0.26</v>
      </c>
      <c r="F374" s="21" t="n">
        <f aca="false">INDEX('Perhitungan Upah'!$C$5:$C$13,MATCH(C374,'Perhitungan Upah'!$B$5:$B$13,0))</f>
        <v>175300</v>
      </c>
      <c r="G374" s="21" t="n">
        <f aca="false">E374*F374</f>
        <v>45578</v>
      </c>
      <c r="H374" s="85" t="s">
        <v>146</v>
      </c>
      <c r="I374" s="85" t="s">
        <v>138</v>
      </c>
      <c r="J374" s="85" t="s">
        <v>541</v>
      </c>
      <c r="K374" s="86" t="n">
        <f aca="false">$K$372</f>
        <v>15.4</v>
      </c>
      <c r="L374" s="86" t="n">
        <f aca="false">E374*K374</f>
        <v>4.004</v>
      </c>
    </row>
    <row r="375" customFormat="false" ht="15" hidden="false" customHeight="true" outlineLevel="0" collapsed="false">
      <c r="A375" s="24"/>
      <c r="B375" s="20" t="s">
        <v>487</v>
      </c>
      <c r="C375" s="37" t="s">
        <v>488</v>
      </c>
      <c r="D375" s="37" t="s">
        <v>540</v>
      </c>
      <c r="E375" s="84" t="n">
        <v>0.15</v>
      </c>
      <c r="F375" s="21" t="n">
        <f aca="false">INDEX('Perhitungan Upah'!$C$5:$C$13,MATCH(C375,'Perhitungan Upah'!$B$5:$B$13,0))</f>
        <v>130500</v>
      </c>
      <c r="G375" s="21" t="n">
        <f aca="false">E375*F375</f>
        <v>19575</v>
      </c>
      <c r="H375" s="85" t="s">
        <v>146</v>
      </c>
      <c r="I375" s="85" t="s">
        <v>138</v>
      </c>
      <c r="J375" s="85" t="s">
        <v>541</v>
      </c>
      <c r="K375" s="86" t="n">
        <f aca="false">$K$372</f>
        <v>15.4</v>
      </c>
      <c r="L375" s="86" t="n">
        <f aca="false">E375*K375</f>
        <v>2.31</v>
      </c>
    </row>
    <row r="376" customFormat="false" ht="15" hidden="false" customHeight="true" outlineLevel="0" collapsed="false">
      <c r="A376" s="87"/>
      <c r="B376" s="88" t="s">
        <v>542</v>
      </c>
      <c r="C376" s="87"/>
      <c r="D376" s="87"/>
      <c r="E376" s="87"/>
      <c r="F376" s="87"/>
      <c r="G376" s="89" t="n">
        <f aca="false">SUM(G374:G375)</f>
        <v>65153</v>
      </c>
      <c r="H376" s="24"/>
      <c r="I376" s="24"/>
      <c r="J376" s="24"/>
      <c r="K376" s="24"/>
      <c r="L376" s="24"/>
    </row>
    <row r="377" customFormat="false" ht="15" hidden="false" customHeight="true" outlineLevel="0" collapsed="false">
      <c r="A377" s="83" t="s">
        <v>543</v>
      </c>
      <c r="B377" s="25" t="s">
        <v>544</v>
      </c>
      <c r="C377" s="24"/>
      <c r="D377" s="24"/>
      <c r="E377" s="24"/>
      <c r="F377" s="24"/>
      <c r="G377" s="24"/>
      <c r="H377" s="24"/>
      <c r="I377" s="24"/>
      <c r="J377" s="24"/>
      <c r="K377" s="24"/>
      <c r="L377" s="24"/>
    </row>
    <row r="378" customFormat="false" ht="15" hidden="false" customHeight="true" outlineLevel="0" collapsed="false">
      <c r="A378" s="24"/>
      <c r="B378" s="20" t="s">
        <v>375</v>
      </c>
      <c r="C378" s="37" t="s">
        <v>374</v>
      </c>
      <c r="D378" s="37" t="s">
        <v>81</v>
      </c>
      <c r="E378" s="84" t="n">
        <v>1.1</v>
      </c>
      <c r="F378" s="21" t="n">
        <f aca="false">VLOOKUP(C378,'Perhitungan Bahan'!$A$5:$J$61,10,FALSE())</f>
        <v>70000</v>
      </c>
      <c r="G378" s="21" t="n">
        <f aca="false">E378*F378</f>
        <v>77000</v>
      </c>
      <c r="H378" s="85" t="s">
        <v>146</v>
      </c>
      <c r="I378" s="85" t="s">
        <v>138</v>
      </c>
      <c r="J378" s="85" t="s">
        <v>282</v>
      </c>
      <c r="K378" s="86" t="n">
        <f aca="false">$K$372</f>
        <v>15.4</v>
      </c>
      <c r="L378" s="86" t="n">
        <f aca="false">E378*K378</f>
        <v>16.94</v>
      </c>
    </row>
    <row r="379" customFormat="false" ht="15" hidden="false" customHeight="true" outlineLevel="0" collapsed="false">
      <c r="A379" s="24"/>
      <c r="B379" s="20" t="s">
        <v>297</v>
      </c>
      <c r="C379" s="37" t="s">
        <v>296</v>
      </c>
      <c r="D379" s="37" t="s">
        <v>299</v>
      </c>
      <c r="E379" s="84" t="n">
        <v>9.765</v>
      </c>
      <c r="F379" s="21" t="n">
        <f aca="false">VLOOKUP(C379,'Perhitungan Bahan'!$A$5:$J$61,10,FALSE())</f>
        <v>1575</v>
      </c>
      <c r="G379" s="21" t="n">
        <f aca="false">E379*F379</f>
        <v>15379.875</v>
      </c>
      <c r="H379" s="85" t="s">
        <v>146</v>
      </c>
      <c r="I379" s="85" t="s">
        <v>138</v>
      </c>
      <c r="J379" s="85" t="s">
        <v>282</v>
      </c>
      <c r="K379" s="86" t="n">
        <f aca="false">$K$372</f>
        <v>15.4</v>
      </c>
      <c r="L379" s="86" t="n">
        <f aca="false">E379*K379</f>
        <v>150.381</v>
      </c>
    </row>
    <row r="380" customFormat="false" ht="15" hidden="false" customHeight="true" outlineLevel="0" collapsed="false">
      <c r="A380" s="24"/>
      <c r="B380" s="20" t="s">
        <v>305</v>
      </c>
      <c r="C380" s="37" t="s">
        <v>304</v>
      </c>
      <c r="D380" s="37" t="s">
        <v>93</v>
      </c>
      <c r="E380" s="84" t="n">
        <v>0.0198</v>
      </c>
      <c r="F380" s="21" t="n">
        <f aca="false">VLOOKUP(C380,'Perhitungan Bahan'!$A$5:$J$61,10,FALSE())</f>
        <v>295200</v>
      </c>
      <c r="G380" s="21" t="n">
        <f aca="false">E380*F380</f>
        <v>5844.96</v>
      </c>
      <c r="H380" s="85" t="s">
        <v>146</v>
      </c>
      <c r="I380" s="85" t="s">
        <v>138</v>
      </c>
      <c r="J380" s="85" t="s">
        <v>282</v>
      </c>
      <c r="K380" s="86" t="n">
        <f aca="false">$K$372</f>
        <v>15.4</v>
      </c>
      <c r="L380" s="86" t="n">
        <f aca="false">E380*K380</f>
        <v>0.30492</v>
      </c>
    </row>
    <row r="381" customFormat="false" ht="15" hidden="false" customHeight="true" outlineLevel="0" collapsed="false">
      <c r="A381" s="24"/>
      <c r="B381" s="20" t="s">
        <v>380</v>
      </c>
      <c r="C381" s="37" t="s">
        <v>379</v>
      </c>
      <c r="D381" s="37" t="s">
        <v>299</v>
      </c>
      <c r="E381" s="84" t="n">
        <v>0.5</v>
      </c>
      <c r="F381" s="21" t="n">
        <f aca="false">VLOOKUP(C381,'Perhitungan Bahan'!$A$5:$J$61,10,FALSE())</f>
        <v>15000</v>
      </c>
      <c r="G381" s="21" t="n">
        <f aca="false">E381*F381</f>
        <v>7500</v>
      </c>
      <c r="H381" s="85" t="s">
        <v>146</v>
      </c>
      <c r="I381" s="85" t="s">
        <v>138</v>
      </c>
      <c r="J381" s="85" t="s">
        <v>282</v>
      </c>
      <c r="K381" s="86" t="n">
        <f aca="false">$K$372</f>
        <v>15.4</v>
      </c>
      <c r="L381" s="86" t="n">
        <f aca="false">E381*K381</f>
        <v>7.7</v>
      </c>
    </row>
    <row r="382" customFormat="false" ht="15" hidden="false" customHeight="true" outlineLevel="0" collapsed="false">
      <c r="A382" s="87"/>
      <c r="B382" s="88" t="s">
        <v>71</v>
      </c>
      <c r="C382" s="87"/>
      <c r="D382" s="87"/>
      <c r="E382" s="87"/>
      <c r="F382" s="87"/>
      <c r="G382" s="89" t="n">
        <f aca="false">SUM(G378:G381)</f>
        <v>105724.835</v>
      </c>
      <c r="H382" s="24"/>
      <c r="I382" s="24"/>
      <c r="J382" s="24"/>
      <c r="K382" s="24"/>
      <c r="L382" s="24"/>
    </row>
    <row r="383" customFormat="false" ht="15" hidden="false" customHeight="true" outlineLevel="0" collapsed="false">
      <c r="A383" s="90" t="s">
        <v>545</v>
      </c>
      <c r="B383" s="91" t="s">
        <v>546</v>
      </c>
      <c r="C383" s="92"/>
      <c r="D383" s="92"/>
      <c r="E383" s="92"/>
      <c r="F383" s="92"/>
      <c r="G383" s="93" t="n">
        <f aca="false">G376+G382</f>
        <v>170877.835</v>
      </c>
      <c r="H383" s="24"/>
      <c r="I383" s="24"/>
      <c r="J383" s="24"/>
      <c r="K383" s="24"/>
      <c r="L383" s="24"/>
    </row>
    <row r="384" customFormat="false" ht="15" hidden="false" customHeight="true" outlineLevel="0" collapsed="false">
      <c r="A384" s="37" t="s">
        <v>547</v>
      </c>
      <c r="B384" s="20" t="s">
        <v>548</v>
      </c>
      <c r="C384" s="24"/>
      <c r="D384" s="24"/>
      <c r="E384" s="94" t="n">
        <f aca="false">Parameter!$B$4</f>
        <v>0.15</v>
      </c>
      <c r="F384" s="24"/>
      <c r="G384" s="21" t="n">
        <f aca="false">G383*E384</f>
        <v>25631.67525</v>
      </c>
      <c r="H384" s="24"/>
      <c r="I384" s="24"/>
      <c r="J384" s="24"/>
      <c r="K384" s="24"/>
      <c r="L384" s="24"/>
    </row>
    <row r="385" customFormat="false" ht="15" hidden="false" customHeight="true" outlineLevel="0" collapsed="false">
      <c r="A385" s="95" t="s">
        <v>549</v>
      </c>
      <c r="B385" s="96" t="s">
        <v>550</v>
      </c>
      <c r="C385" s="97"/>
      <c r="D385" s="97"/>
      <c r="E385" s="97"/>
      <c r="F385" s="97"/>
      <c r="G385" s="98" t="n">
        <f aca="false">G383+G384</f>
        <v>196509.51025</v>
      </c>
      <c r="H385" s="24"/>
      <c r="I385" s="24"/>
      <c r="J385" s="24"/>
      <c r="K385" s="24"/>
      <c r="L385" s="24"/>
    </row>
    <row r="387" customFormat="false" ht="23.25" hidden="false" customHeight="true" outlineLevel="0" collapsed="false">
      <c r="A387" s="35" t="s">
        <v>148</v>
      </c>
      <c r="B387" s="35" t="s">
        <v>578</v>
      </c>
      <c r="C387" s="35"/>
      <c r="D387" s="35"/>
      <c r="E387" s="35"/>
      <c r="F387" s="35"/>
      <c r="G387" s="35"/>
      <c r="H387" s="35"/>
      <c r="I387" s="35"/>
      <c r="J387" s="81" t="s">
        <v>537</v>
      </c>
      <c r="K387" s="82" t="n">
        <f aca="false">Volume!$B$16</f>
        <v>4.5</v>
      </c>
      <c r="L387" s="35"/>
    </row>
    <row r="388" customFormat="false" ht="15" hidden="false" customHeight="true" outlineLevel="0" collapsed="false">
      <c r="A388" s="83" t="s">
        <v>538</v>
      </c>
      <c r="B388" s="25" t="s">
        <v>539</v>
      </c>
      <c r="C388" s="24"/>
      <c r="D388" s="24"/>
      <c r="E388" s="24"/>
      <c r="F388" s="24"/>
      <c r="G388" s="24"/>
      <c r="H388" s="24"/>
      <c r="I388" s="24"/>
      <c r="J388" s="24"/>
      <c r="K388" s="24"/>
      <c r="L388" s="24"/>
    </row>
    <row r="389" customFormat="false" ht="15" hidden="false" customHeight="true" outlineLevel="0" collapsed="false">
      <c r="A389" s="24"/>
      <c r="B389" s="20" t="s">
        <v>490</v>
      </c>
      <c r="C389" s="37" t="s">
        <v>491</v>
      </c>
      <c r="D389" s="37" t="s">
        <v>540</v>
      </c>
      <c r="E389" s="84" t="n">
        <v>0.26</v>
      </c>
      <c r="F389" s="21" t="n">
        <f aca="false">INDEX('Perhitungan Upah'!$C$5:$C$13,MATCH(C389,'Perhitungan Upah'!$B$5:$B$13,0))</f>
        <v>175300</v>
      </c>
      <c r="G389" s="21" t="n">
        <f aca="false">E389*F389</f>
        <v>45578</v>
      </c>
      <c r="H389" s="85" t="s">
        <v>148</v>
      </c>
      <c r="I389" s="85" t="s">
        <v>138</v>
      </c>
      <c r="J389" s="85" t="s">
        <v>541</v>
      </c>
      <c r="K389" s="86" t="n">
        <f aca="false">$K$387</f>
        <v>4.5</v>
      </c>
      <c r="L389" s="86" t="n">
        <f aca="false">E389*K389</f>
        <v>1.17</v>
      </c>
    </row>
    <row r="390" customFormat="false" ht="15" hidden="false" customHeight="true" outlineLevel="0" collapsed="false">
      <c r="A390" s="24"/>
      <c r="B390" s="20" t="s">
        <v>487</v>
      </c>
      <c r="C390" s="37" t="s">
        <v>488</v>
      </c>
      <c r="D390" s="37" t="s">
        <v>540</v>
      </c>
      <c r="E390" s="84" t="n">
        <v>0.15</v>
      </c>
      <c r="F390" s="21" t="n">
        <f aca="false">INDEX('Perhitungan Upah'!$C$5:$C$13,MATCH(C390,'Perhitungan Upah'!$B$5:$B$13,0))</f>
        <v>130500</v>
      </c>
      <c r="G390" s="21" t="n">
        <f aca="false">E390*F390</f>
        <v>19575</v>
      </c>
      <c r="H390" s="85" t="s">
        <v>148</v>
      </c>
      <c r="I390" s="85" t="s">
        <v>138</v>
      </c>
      <c r="J390" s="85" t="s">
        <v>541</v>
      </c>
      <c r="K390" s="86" t="n">
        <f aca="false">$K$387</f>
        <v>4.5</v>
      </c>
      <c r="L390" s="86" t="n">
        <f aca="false">E390*K390</f>
        <v>0.675</v>
      </c>
    </row>
    <row r="391" customFormat="false" ht="15" hidden="false" customHeight="true" outlineLevel="0" collapsed="false">
      <c r="A391" s="87"/>
      <c r="B391" s="88" t="s">
        <v>542</v>
      </c>
      <c r="C391" s="87"/>
      <c r="D391" s="87"/>
      <c r="E391" s="87"/>
      <c r="F391" s="87"/>
      <c r="G391" s="89" t="n">
        <f aca="false">SUM(G389:G390)</f>
        <v>65153</v>
      </c>
      <c r="H391" s="24"/>
      <c r="I391" s="24"/>
      <c r="J391" s="24"/>
      <c r="K391" s="24"/>
      <c r="L391" s="24"/>
    </row>
    <row r="392" customFormat="false" ht="15" hidden="false" customHeight="true" outlineLevel="0" collapsed="false">
      <c r="A392" s="83" t="s">
        <v>543</v>
      </c>
      <c r="B392" s="25" t="s">
        <v>544</v>
      </c>
      <c r="C392" s="24"/>
      <c r="D392" s="24"/>
      <c r="E392" s="24"/>
      <c r="F392" s="24"/>
      <c r="G392" s="24"/>
      <c r="H392" s="24"/>
      <c r="I392" s="24"/>
      <c r="J392" s="24"/>
      <c r="K392" s="24"/>
      <c r="L392" s="24"/>
    </row>
    <row r="393" customFormat="false" ht="15" hidden="false" customHeight="true" outlineLevel="0" collapsed="false">
      <c r="A393" s="24"/>
      <c r="B393" s="20" t="s">
        <v>149</v>
      </c>
      <c r="C393" s="37" t="s">
        <v>377</v>
      </c>
      <c r="D393" s="37" t="s">
        <v>81</v>
      </c>
      <c r="E393" s="84" t="n">
        <v>1.1</v>
      </c>
      <c r="F393" s="21" t="n">
        <f aca="false">VLOOKUP(C393,'Perhitungan Bahan'!$A$5:$J$61,10,FALSE())</f>
        <v>62500</v>
      </c>
      <c r="G393" s="21" t="n">
        <f aca="false">E393*F393</f>
        <v>68750</v>
      </c>
      <c r="H393" s="85" t="s">
        <v>148</v>
      </c>
      <c r="I393" s="85" t="s">
        <v>138</v>
      </c>
      <c r="J393" s="85" t="s">
        <v>282</v>
      </c>
      <c r="K393" s="86" t="n">
        <f aca="false">$K$387</f>
        <v>4.5</v>
      </c>
      <c r="L393" s="86" t="n">
        <f aca="false">E393*K393</f>
        <v>4.95</v>
      </c>
    </row>
    <row r="394" customFormat="false" ht="15" hidden="false" customHeight="true" outlineLevel="0" collapsed="false">
      <c r="A394" s="24"/>
      <c r="B394" s="20" t="s">
        <v>297</v>
      </c>
      <c r="C394" s="37" t="s">
        <v>296</v>
      </c>
      <c r="D394" s="37" t="s">
        <v>299</v>
      </c>
      <c r="E394" s="84" t="n">
        <v>10.5</v>
      </c>
      <c r="F394" s="21" t="n">
        <f aca="false">VLOOKUP(C394,'Perhitungan Bahan'!$A$5:$J$61,10,FALSE())</f>
        <v>1575</v>
      </c>
      <c r="G394" s="21" t="n">
        <f aca="false">E394*F394</f>
        <v>16537.5</v>
      </c>
      <c r="H394" s="85" t="s">
        <v>148</v>
      </c>
      <c r="I394" s="85" t="s">
        <v>138</v>
      </c>
      <c r="J394" s="85" t="s">
        <v>282</v>
      </c>
      <c r="K394" s="86" t="n">
        <f aca="false">$K$387</f>
        <v>4.5</v>
      </c>
      <c r="L394" s="86" t="n">
        <f aca="false">E394*K394</f>
        <v>47.25</v>
      </c>
    </row>
    <row r="395" customFormat="false" ht="15" hidden="false" customHeight="true" outlineLevel="0" collapsed="false">
      <c r="A395" s="24"/>
      <c r="B395" s="20" t="s">
        <v>305</v>
      </c>
      <c r="C395" s="37" t="s">
        <v>304</v>
      </c>
      <c r="D395" s="37" t="s">
        <v>93</v>
      </c>
      <c r="E395" s="84" t="n">
        <v>0.0495</v>
      </c>
      <c r="F395" s="21" t="n">
        <f aca="false">VLOOKUP(C395,'Perhitungan Bahan'!$A$5:$J$61,10,FALSE())</f>
        <v>295200</v>
      </c>
      <c r="G395" s="21" t="n">
        <f aca="false">E395*F395</f>
        <v>14612.4</v>
      </c>
      <c r="H395" s="85" t="s">
        <v>148</v>
      </c>
      <c r="I395" s="85" t="s">
        <v>138</v>
      </c>
      <c r="J395" s="85" t="s">
        <v>282</v>
      </c>
      <c r="K395" s="86" t="n">
        <f aca="false">$K$387</f>
        <v>4.5</v>
      </c>
      <c r="L395" s="86" t="n">
        <f aca="false">E395*K395</f>
        <v>0.22275</v>
      </c>
    </row>
    <row r="396" customFormat="false" ht="15" hidden="false" customHeight="true" outlineLevel="0" collapsed="false">
      <c r="A396" s="24"/>
      <c r="B396" s="20" t="s">
        <v>380</v>
      </c>
      <c r="C396" s="37" t="s">
        <v>379</v>
      </c>
      <c r="D396" s="37" t="s">
        <v>299</v>
      </c>
      <c r="E396" s="84" t="n">
        <v>0.5</v>
      </c>
      <c r="F396" s="21" t="n">
        <f aca="false">VLOOKUP(C396,'Perhitungan Bahan'!$A$5:$J$61,10,FALSE())</f>
        <v>15000</v>
      </c>
      <c r="G396" s="21" t="n">
        <f aca="false">E396*F396</f>
        <v>7500</v>
      </c>
      <c r="H396" s="85" t="s">
        <v>148</v>
      </c>
      <c r="I396" s="85" t="s">
        <v>138</v>
      </c>
      <c r="J396" s="85" t="s">
        <v>282</v>
      </c>
      <c r="K396" s="86" t="n">
        <f aca="false">$K$387</f>
        <v>4.5</v>
      </c>
      <c r="L396" s="86" t="n">
        <f aca="false">E396*K396</f>
        <v>2.25</v>
      </c>
    </row>
    <row r="397" customFormat="false" ht="15" hidden="false" customHeight="true" outlineLevel="0" collapsed="false">
      <c r="A397" s="87"/>
      <c r="B397" s="88" t="s">
        <v>71</v>
      </c>
      <c r="C397" s="87"/>
      <c r="D397" s="87"/>
      <c r="E397" s="87"/>
      <c r="F397" s="87"/>
      <c r="G397" s="89" t="n">
        <f aca="false">SUM(G393:G396)</f>
        <v>107399.9</v>
      </c>
      <c r="H397" s="24"/>
      <c r="I397" s="24"/>
      <c r="J397" s="24"/>
      <c r="K397" s="24"/>
      <c r="L397" s="24"/>
    </row>
    <row r="398" customFormat="false" ht="15" hidden="false" customHeight="true" outlineLevel="0" collapsed="false">
      <c r="A398" s="90" t="s">
        <v>545</v>
      </c>
      <c r="B398" s="91" t="s">
        <v>546</v>
      </c>
      <c r="C398" s="92"/>
      <c r="D398" s="92"/>
      <c r="E398" s="92"/>
      <c r="F398" s="92"/>
      <c r="G398" s="93" t="n">
        <f aca="false">G391+G397</f>
        <v>172552.9</v>
      </c>
      <c r="H398" s="24"/>
      <c r="I398" s="24"/>
      <c r="J398" s="24"/>
      <c r="K398" s="24"/>
      <c r="L398" s="24"/>
    </row>
    <row r="399" customFormat="false" ht="15" hidden="false" customHeight="true" outlineLevel="0" collapsed="false">
      <c r="A399" s="37" t="s">
        <v>547</v>
      </c>
      <c r="B399" s="20" t="s">
        <v>548</v>
      </c>
      <c r="C399" s="24"/>
      <c r="D399" s="24"/>
      <c r="E399" s="94" t="n">
        <f aca="false">Parameter!$B$4</f>
        <v>0.15</v>
      </c>
      <c r="F399" s="24"/>
      <c r="G399" s="21" t="n">
        <f aca="false">G398*E399</f>
        <v>25882.935</v>
      </c>
      <c r="H399" s="24"/>
      <c r="I399" s="24"/>
      <c r="J399" s="24"/>
      <c r="K399" s="24"/>
      <c r="L399" s="24"/>
    </row>
    <row r="400" customFormat="false" ht="15" hidden="false" customHeight="true" outlineLevel="0" collapsed="false">
      <c r="A400" s="95" t="s">
        <v>549</v>
      </c>
      <c r="B400" s="96" t="s">
        <v>550</v>
      </c>
      <c r="C400" s="97"/>
      <c r="D400" s="97"/>
      <c r="E400" s="97"/>
      <c r="F400" s="97"/>
      <c r="G400" s="98" t="n">
        <f aca="false">G398+G399</f>
        <v>198435.835</v>
      </c>
      <c r="H400" s="24"/>
      <c r="I400" s="24"/>
      <c r="J400" s="24"/>
      <c r="K400" s="24"/>
      <c r="L400" s="24"/>
    </row>
    <row r="402" customFormat="false" ht="23.25" hidden="false" customHeight="true" outlineLevel="0" collapsed="false">
      <c r="A402" s="35" t="s">
        <v>152</v>
      </c>
      <c r="B402" s="35" t="s">
        <v>579</v>
      </c>
      <c r="C402" s="35"/>
      <c r="D402" s="35"/>
      <c r="E402" s="35"/>
      <c r="F402" s="35"/>
      <c r="G402" s="35"/>
      <c r="H402" s="35"/>
      <c r="I402" s="35"/>
      <c r="J402" s="81" t="s">
        <v>537</v>
      </c>
      <c r="K402" s="82" t="n">
        <v>1</v>
      </c>
      <c r="L402" s="35"/>
    </row>
    <row r="403" customFormat="false" ht="23.25" hidden="false" customHeight="true" outlineLevel="0" collapsed="false">
      <c r="A403" s="83" t="s">
        <v>538</v>
      </c>
      <c r="B403" s="25" t="s">
        <v>567</v>
      </c>
      <c r="C403" s="24"/>
      <c r="D403" s="24"/>
      <c r="E403" s="24"/>
      <c r="F403" s="24"/>
      <c r="G403" s="26" t="n">
        <v>0</v>
      </c>
      <c r="H403" s="24"/>
      <c r="I403" s="24"/>
      <c r="J403" s="24"/>
      <c r="K403" s="24"/>
      <c r="L403" s="24"/>
    </row>
    <row r="404" customFormat="false" ht="23.25" hidden="false" customHeight="true" outlineLevel="0" collapsed="false">
      <c r="A404" s="83" t="s">
        <v>543</v>
      </c>
      <c r="B404" s="25" t="s">
        <v>568</v>
      </c>
      <c r="C404" s="24"/>
      <c r="D404" s="24"/>
      <c r="E404" s="24"/>
      <c r="F404" s="24"/>
      <c r="G404" s="24"/>
      <c r="H404" s="24"/>
      <c r="I404" s="24"/>
      <c r="J404" s="24"/>
      <c r="K404" s="24"/>
      <c r="L404" s="24"/>
    </row>
    <row r="405" customFormat="false" ht="15" hidden="false" customHeight="true" outlineLevel="0" collapsed="false">
      <c r="A405" s="24"/>
      <c r="B405" s="20" t="s">
        <v>153</v>
      </c>
      <c r="C405" s="37" t="s">
        <v>467</v>
      </c>
      <c r="D405" s="37" t="s">
        <v>154</v>
      </c>
      <c r="E405" s="99" t="n">
        <v>1</v>
      </c>
      <c r="F405" s="39" t="n">
        <f aca="false">'Perhitungan Bahan'!I69</f>
        <v>2796200</v>
      </c>
      <c r="G405" s="21" t="n">
        <f aca="false">E405*F405</f>
        <v>2796200</v>
      </c>
      <c r="H405" s="24"/>
      <c r="I405" s="24"/>
      <c r="J405" s="24"/>
      <c r="K405" s="24"/>
      <c r="L405" s="24"/>
    </row>
    <row r="406" customFormat="false" ht="15" hidden="false" customHeight="true" outlineLevel="0" collapsed="false">
      <c r="A406" s="87"/>
      <c r="B406" s="88" t="s">
        <v>569</v>
      </c>
      <c r="C406" s="87"/>
      <c r="D406" s="87"/>
      <c r="E406" s="87"/>
      <c r="F406" s="87"/>
      <c r="G406" s="89" t="n">
        <f aca="false">G405</f>
        <v>2796200</v>
      </c>
      <c r="H406" s="24"/>
      <c r="I406" s="24"/>
      <c r="J406" s="24"/>
      <c r="K406" s="24"/>
      <c r="L406" s="24"/>
    </row>
    <row r="407" customFormat="false" ht="15" hidden="false" customHeight="true" outlineLevel="0" collapsed="false">
      <c r="A407" s="90" t="s">
        <v>545</v>
      </c>
      <c r="B407" s="91" t="s">
        <v>546</v>
      </c>
      <c r="C407" s="92"/>
      <c r="D407" s="92"/>
      <c r="E407" s="92"/>
      <c r="F407" s="92"/>
      <c r="G407" s="93" t="n">
        <f aca="false">G403+G406</f>
        <v>2796200</v>
      </c>
      <c r="H407" s="24"/>
      <c r="I407" s="24"/>
      <c r="J407" s="24"/>
      <c r="K407" s="24"/>
      <c r="L407" s="24"/>
    </row>
    <row r="408" customFormat="false" ht="15" hidden="false" customHeight="true" outlineLevel="0" collapsed="false">
      <c r="A408" s="37" t="s">
        <v>547</v>
      </c>
      <c r="B408" s="20" t="s">
        <v>548</v>
      </c>
      <c r="C408" s="24"/>
      <c r="D408" s="24"/>
      <c r="E408" s="94" t="n">
        <f aca="false">Parameter!$B$4</f>
        <v>0.15</v>
      </c>
      <c r="F408" s="24"/>
      <c r="G408" s="21" t="n">
        <f aca="false">G407*E408</f>
        <v>419430</v>
      </c>
      <c r="H408" s="24"/>
      <c r="I408" s="24"/>
      <c r="J408" s="24"/>
      <c r="K408" s="24"/>
      <c r="L408" s="24"/>
    </row>
    <row r="409" customFormat="false" ht="15" hidden="false" customHeight="true" outlineLevel="0" collapsed="false">
      <c r="A409" s="95" t="s">
        <v>549</v>
      </c>
      <c r="B409" s="96" t="s">
        <v>550</v>
      </c>
      <c r="C409" s="97"/>
      <c r="D409" s="97"/>
      <c r="E409" s="97"/>
      <c r="F409" s="97"/>
      <c r="G409" s="98" t="n">
        <f aca="false">G407+G408</f>
        <v>3215630</v>
      </c>
      <c r="H409" s="24"/>
      <c r="I409" s="24"/>
      <c r="J409" s="24"/>
      <c r="K409" s="24"/>
      <c r="L409" s="24"/>
    </row>
    <row r="411" customFormat="false" ht="23.25" hidden="false" customHeight="true" outlineLevel="0" collapsed="false">
      <c r="A411" s="35" t="s">
        <v>155</v>
      </c>
      <c r="B411" s="35" t="s">
        <v>580</v>
      </c>
      <c r="C411" s="35"/>
      <c r="D411" s="35"/>
      <c r="E411" s="35"/>
      <c r="F411" s="35"/>
      <c r="G411" s="35"/>
      <c r="H411" s="35"/>
      <c r="I411" s="35"/>
      <c r="J411" s="81" t="s">
        <v>537</v>
      </c>
      <c r="K411" s="82" t="n">
        <v>3</v>
      </c>
      <c r="L411" s="35"/>
    </row>
    <row r="412" customFormat="false" ht="15" hidden="false" customHeight="true" outlineLevel="0" collapsed="false">
      <c r="A412" s="83" t="s">
        <v>538</v>
      </c>
      <c r="B412" s="25" t="s">
        <v>539</v>
      </c>
      <c r="C412" s="24"/>
      <c r="D412" s="24"/>
      <c r="E412" s="24"/>
      <c r="F412" s="24"/>
      <c r="G412" s="24"/>
      <c r="H412" s="24"/>
      <c r="I412" s="24"/>
      <c r="J412" s="24"/>
      <c r="K412" s="24"/>
      <c r="L412" s="24"/>
    </row>
    <row r="413" customFormat="false" ht="15" hidden="false" customHeight="true" outlineLevel="0" collapsed="false">
      <c r="A413" s="24"/>
      <c r="B413" s="20" t="s">
        <v>492</v>
      </c>
      <c r="C413" s="37" t="s">
        <v>493</v>
      </c>
      <c r="D413" s="37" t="s">
        <v>540</v>
      </c>
      <c r="E413" s="84" t="n">
        <v>1</v>
      </c>
      <c r="F413" s="21" t="n">
        <f aca="false">INDEX('Perhitungan Upah'!$C$5:$C$13,MATCH(C413,'Perhitungan Upah'!$B$5:$B$13,0))</f>
        <v>174700</v>
      </c>
      <c r="G413" s="21" t="n">
        <f aca="false">E413*F413</f>
        <v>174700</v>
      </c>
      <c r="H413" s="85" t="s">
        <v>155</v>
      </c>
      <c r="I413" s="85" t="s">
        <v>150</v>
      </c>
      <c r="J413" s="85" t="s">
        <v>541</v>
      </c>
      <c r="K413" s="86" t="n">
        <f aca="false">$K$411</f>
        <v>3</v>
      </c>
      <c r="L413" s="86" t="n">
        <f aca="false">E413*K413</f>
        <v>3</v>
      </c>
    </row>
    <row r="414" customFormat="false" ht="15" hidden="false" customHeight="true" outlineLevel="0" collapsed="false">
      <c r="A414" s="24"/>
      <c r="B414" s="20" t="s">
        <v>487</v>
      </c>
      <c r="C414" s="37" t="s">
        <v>488</v>
      </c>
      <c r="D414" s="37" t="s">
        <v>540</v>
      </c>
      <c r="E414" s="84" t="n">
        <v>0.3</v>
      </c>
      <c r="F414" s="21" t="n">
        <f aca="false">INDEX('Perhitungan Upah'!$C$5:$C$13,MATCH(C414,'Perhitungan Upah'!$B$5:$B$13,0))</f>
        <v>130500</v>
      </c>
      <c r="G414" s="21" t="n">
        <f aca="false">E414*F414</f>
        <v>39150</v>
      </c>
      <c r="H414" s="85" t="s">
        <v>155</v>
      </c>
      <c r="I414" s="85" t="s">
        <v>150</v>
      </c>
      <c r="J414" s="85" t="s">
        <v>541</v>
      </c>
      <c r="K414" s="86" t="n">
        <f aca="false">$K$411</f>
        <v>3</v>
      </c>
      <c r="L414" s="86" t="n">
        <f aca="false">E414*K414</f>
        <v>0.9</v>
      </c>
    </row>
    <row r="415" customFormat="false" ht="15" hidden="false" customHeight="true" outlineLevel="0" collapsed="false">
      <c r="A415" s="87"/>
      <c r="B415" s="88" t="s">
        <v>542</v>
      </c>
      <c r="C415" s="87"/>
      <c r="D415" s="87"/>
      <c r="E415" s="87"/>
      <c r="F415" s="87"/>
      <c r="G415" s="89" t="n">
        <f aca="false">SUM(G413:G414)</f>
        <v>213850</v>
      </c>
      <c r="H415" s="24"/>
      <c r="I415" s="24"/>
      <c r="J415" s="24"/>
      <c r="K415" s="24"/>
      <c r="L415" s="24"/>
    </row>
    <row r="416" customFormat="false" ht="15" hidden="false" customHeight="true" outlineLevel="0" collapsed="false">
      <c r="A416" s="83" t="s">
        <v>543</v>
      </c>
      <c r="B416" s="25" t="s">
        <v>544</v>
      </c>
      <c r="C416" s="24"/>
      <c r="D416" s="24"/>
      <c r="E416" s="24"/>
      <c r="F416" s="24"/>
      <c r="G416" s="24"/>
      <c r="H416" s="24"/>
      <c r="I416" s="24"/>
      <c r="J416" s="24"/>
      <c r="K416" s="24"/>
      <c r="L416" s="24"/>
    </row>
    <row r="417" customFormat="false" ht="15" hidden="false" customHeight="true" outlineLevel="0" collapsed="false">
      <c r="A417" s="24"/>
      <c r="B417" s="20" t="s">
        <v>424</v>
      </c>
      <c r="C417" s="37" t="s">
        <v>423</v>
      </c>
      <c r="D417" s="37" t="s">
        <v>181</v>
      </c>
      <c r="E417" s="84" t="n">
        <v>1</v>
      </c>
      <c r="F417" s="21" t="n">
        <f aca="false">VLOOKUP(C417,'Perhitungan Bahan'!$A$5:$J$61,10,FALSE())</f>
        <v>925000</v>
      </c>
      <c r="G417" s="21" t="n">
        <f aca="false">E417*F417</f>
        <v>925000</v>
      </c>
      <c r="H417" s="85" t="s">
        <v>155</v>
      </c>
      <c r="I417" s="85" t="s">
        <v>150</v>
      </c>
      <c r="J417" s="85" t="s">
        <v>282</v>
      </c>
      <c r="K417" s="86" t="n">
        <f aca="false">$K$411</f>
        <v>3</v>
      </c>
      <c r="L417" s="86" t="n">
        <f aca="false">E417*K417</f>
        <v>3</v>
      </c>
    </row>
    <row r="418" customFormat="false" ht="15" hidden="false" customHeight="true" outlineLevel="0" collapsed="false">
      <c r="A418" s="24"/>
      <c r="B418" s="20" t="s">
        <v>428</v>
      </c>
      <c r="C418" s="37" t="s">
        <v>427</v>
      </c>
      <c r="D418" s="37" t="s">
        <v>175</v>
      </c>
      <c r="E418" s="84" t="n">
        <v>1</v>
      </c>
      <c r="F418" s="21" t="n">
        <f aca="false">VLOOKUP(C418,'Perhitungan Bahan'!$A$5:$J$61,10,FALSE())</f>
        <v>415000</v>
      </c>
      <c r="G418" s="21" t="n">
        <f aca="false">E418*F418</f>
        <v>415000</v>
      </c>
      <c r="H418" s="85" t="s">
        <v>155</v>
      </c>
      <c r="I418" s="85" t="s">
        <v>150</v>
      </c>
      <c r="J418" s="85" t="s">
        <v>282</v>
      </c>
      <c r="K418" s="86" t="n">
        <f aca="false">$K$411</f>
        <v>3</v>
      </c>
      <c r="L418" s="86" t="n">
        <f aca="false">E418*K418</f>
        <v>3</v>
      </c>
    </row>
    <row r="419" customFormat="false" ht="15" hidden="false" customHeight="true" outlineLevel="0" collapsed="false">
      <c r="A419" s="24"/>
      <c r="B419" s="20" t="s">
        <v>431</v>
      </c>
      <c r="C419" s="37" t="s">
        <v>430</v>
      </c>
      <c r="D419" s="37" t="s">
        <v>175</v>
      </c>
      <c r="E419" s="84" t="n">
        <v>1</v>
      </c>
      <c r="F419" s="21" t="n">
        <f aca="false">VLOOKUP(C419,'Perhitungan Bahan'!$A$5:$J$61,10,FALSE())</f>
        <v>291200</v>
      </c>
      <c r="G419" s="21" t="n">
        <f aca="false">E419*F419</f>
        <v>291200</v>
      </c>
      <c r="H419" s="85" t="s">
        <v>155</v>
      </c>
      <c r="I419" s="85" t="s">
        <v>150</v>
      </c>
      <c r="J419" s="85" t="s">
        <v>282</v>
      </c>
      <c r="K419" s="86" t="n">
        <f aca="false">$K$411</f>
        <v>3</v>
      </c>
      <c r="L419" s="86" t="n">
        <f aca="false">E419*K419</f>
        <v>3</v>
      </c>
    </row>
    <row r="420" customFormat="false" ht="15" hidden="false" customHeight="true" outlineLevel="0" collapsed="false">
      <c r="A420" s="87"/>
      <c r="B420" s="88" t="s">
        <v>71</v>
      </c>
      <c r="C420" s="87"/>
      <c r="D420" s="87"/>
      <c r="E420" s="87"/>
      <c r="F420" s="87"/>
      <c r="G420" s="89" t="n">
        <f aca="false">SUM(G417:G419)</f>
        <v>1631200</v>
      </c>
      <c r="H420" s="24"/>
      <c r="I420" s="24"/>
      <c r="J420" s="24"/>
      <c r="K420" s="24"/>
      <c r="L420" s="24"/>
    </row>
    <row r="421" customFormat="false" ht="15" hidden="false" customHeight="true" outlineLevel="0" collapsed="false">
      <c r="A421" s="90" t="s">
        <v>545</v>
      </c>
      <c r="B421" s="91" t="s">
        <v>546</v>
      </c>
      <c r="C421" s="92"/>
      <c r="D421" s="92"/>
      <c r="E421" s="92"/>
      <c r="F421" s="92"/>
      <c r="G421" s="93" t="n">
        <f aca="false">G415+G420</f>
        <v>1845050</v>
      </c>
      <c r="H421" s="24"/>
      <c r="I421" s="24"/>
      <c r="J421" s="24"/>
      <c r="K421" s="24"/>
      <c r="L421" s="24"/>
    </row>
    <row r="422" customFormat="false" ht="15" hidden="false" customHeight="true" outlineLevel="0" collapsed="false">
      <c r="A422" s="37" t="s">
        <v>547</v>
      </c>
      <c r="B422" s="20" t="s">
        <v>548</v>
      </c>
      <c r="C422" s="24"/>
      <c r="D422" s="24"/>
      <c r="E422" s="94" t="n">
        <f aca="false">Parameter!$B$4</f>
        <v>0.15</v>
      </c>
      <c r="F422" s="24"/>
      <c r="G422" s="21" t="n">
        <f aca="false">G421*E422</f>
        <v>276757.5</v>
      </c>
      <c r="H422" s="24"/>
      <c r="I422" s="24"/>
      <c r="J422" s="24"/>
      <c r="K422" s="24"/>
      <c r="L422" s="24"/>
    </row>
    <row r="423" customFormat="false" ht="15" hidden="false" customHeight="true" outlineLevel="0" collapsed="false">
      <c r="A423" s="95" t="s">
        <v>549</v>
      </c>
      <c r="B423" s="96" t="s">
        <v>550</v>
      </c>
      <c r="C423" s="97"/>
      <c r="D423" s="97"/>
      <c r="E423" s="97"/>
      <c r="F423" s="97"/>
      <c r="G423" s="98" t="n">
        <f aca="false">G421+G422</f>
        <v>2121807.5</v>
      </c>
      <c r="H423" s="24"/>
      <c r="I423" s="24"/>
      <c r="J423" s="24"/>
      <c r="K423" s="24"/>
      <c r="L423" s="24"/>
    </row>
    <row r="425" customFormat="false" ht="23.25" hidden="false" customHeight="true" outlineLevel="0" collapsed="false">
      <c r="A425" s="35" t="s">
        <v>157</v>
      </c>
      <c r="B425" s="35" t="s">
        <v>581</v>
      </c>
      <c r="C425" s="35"/>
      <c r="D425" s="35"/>
      <c r="E425" s="35"/>
      <c r="F425" s="35"/>
      <c r="G425" s="35"/>
      <c r="H425" s="35"/>
      <c r="I425" s="35"/>
      <c r="J425" s="81" t="s">
        <v>537</v>
      </c>
      <c r="K425" s="82" t="n">
        <v>1</v>
      </c>
      <c r="L425" s="35"/>
    </row>
    <row r="426" customFormat="false" ht="15" hidden="false" customHeight="true" outlineLevel="0" collapsed="false">
      <c r="A426" s="83" t="s">
        <v>538</v>
      </c>
      <c r="B426" s="25" t="s">
        <v>539</v>
      </c>
      <c r="C426" s="24"/>
      <c r="D426" s="24"/>
      <c r="E426" s="24"/>
      <c r="F426" s="24"/>
      <c r="G426" s="24"/>
      <c r="H426" s="24"/>
      <c r="I426" s="24"/>
      <c r="J426" s="24"/>
      <c r="K426" s="24"/>
      <c r="L426" s="24"/>
    </row>
    <row r="427" customFormat="false" ht="15" hidden="false" customHeight="true" outlineLevel="0" collapsed="false">
      <c r="A427" s="24"/>
      <c r="B427" s="20" t="s">
        <v>492</v>
      </c>
      <c r="C427" s="37" t="s">
        <v>493</v>
      </c>
      <c r="D427" s="37" t="s">
        <v>540</v>
      </c>
      <c r="E427" s="84" t="n">
        <v>1</v>
      </c>
      <c r="F427" s="21" t="n">
        <f aca="false">INDEX('Perhitungan Upah'!$C$5:$C$13,MATCH(C427,'Perhitungan Upah'!$B$5:$B$13,0))</f>
        <v>174700</v>
      </c>
      <c r="G427" s="21" t="n">
        <f aca="false">E427*F427</f>
        <v>174700</v>
      </c>
      <c r="H427" s="85" t="s">
        <v>157</v>
      </c>
      <c r="I427" s="85" t="s">
        <v>150</v>
      </c>
      <c r="J427" s="85" t="s">
        <v>541</v>
      </c>
      <c r="K427" s="86" t="n">
        <f aca="false">$K$425</f>
        <v>1</v>
      </c>
      <c r="L427" s="86" t="n">
        <f aca="false">E427*K427</f>
        <v>1</v>
      </c>
    </row>
    <row r="428" customFormat="false" ht="15" hidden="false" customHeight="true" outlineLevel="0" collapsed="false">
      <c r="A428" s="24"/>
      <c r="B428" s="20" t="s">
        <v>487</v>
      </c>
      <c r="C428" s="37" t="s">
        <v>488</v>
      </c>
      <c r="D428" s="37" t="s">
        <v>540</v>
      </c>
      <c r="E428" s="84" t="n">
        <v>0.3</v>
      </c>
      <c r="F428" s="21" t="n">
        <f aca="false">INDEX('Perhitungan Upah'!$C$5:$C$13,MATCH(C428,'Perhitungan Upah'!$B$5:$B$13,0))</f>
        <v>130500</v>
      </c>
      <c r="G428" s="21" t="n">
        <f aca="false">E428*F428</f>
        <v>39150</v>
      </c>
      <c r="H428" s="85" t="s">
        <v>157</v>
      </c>
      <c r="I428" s="85" t="s">
        <v>150</v>
      </c>
      <c r="J428" s="85" t="s">
        <v>541</v>
      </c>
      <c r="K428" s="86" t="n">
        <f aca="false">$K$425</f>
        <v>1</v>
      </c>
      <c r="L428" s="86" t="n">
        <f aca="false">E428*K428</f>
        <v>0.3</v>
      </c>
    </row>
    <row r="429" customFormat="false" ht="15" hidden="false" customHeight="true" outlineLevel="0" collapsed="false">
      <c r="A429" s="87"/>
      <c r="B429" s="88" t="s">
        <v>542</v>
      </c>
      <c r="C429" s="87"/>
      <c r="D429" s="87"/>
      <c r="E429" s="87"/>
      <c r="F429" s="87"/>
      <c r="G429" s="89" t="n">
        <f aca="false">SUM(G427:G428)</f>
        <v>213850</v>
      </c>
      <c r="H429" s="24"/>
      <c r="I429" s="24"/>
      <c r="J429" s="24"/>
      <c r="K429" s="24"/>
      <c r="L429" s="24"/>
    </row>
    <row r="430" customFormat="false" ht="15" hidden="false" customHeight="true" outlineLevel="0" collapsed="false">
      <c r="A430" s="83" t="s">
        <v>543</v>
      </c>
      <c r="B430" s="25" t="s">
        <v>544</v>
      </c>
      <c r="C430" s="24"/>
      <c r="D430" s="24"/>
      <c r="E430" s="24"/>
      <c r="F430" s="24"/>
      <c r="G430" s="24"/>
      <c r="H430" s="24"/>
      <c r="I430" s="24"/>
      <c r="J430" s="24"/>
      <c r="K430" s="24"/>
      <c r="L430" s="24"/>
    </row>
    <row r="431" customFormat="false" ht="15" hidden="false" customHeight="true" outlineLevel="0" collapsed="false">
      <c r="A431" s="24"/>
      <c r="B431" s="20" t="s">
        <v>158</v>
      </c>
      <c r="C431" s="37" t="s">
        <v>434</v>
      </c>
      <c r="D431" s="37" t="s">
        <v>175</v>
      </c>
      <c r="E431" s="84" t="n">
        <v>1</v>
      </c>
      <c r="F431" s="21" t="n">
        <f aca="false">VLOOKUP(C431,'Perhitungan Bahan'!$A$5:$J$61,10,FALSE())</f>
        <v>949900</v>
      </c>
      <c r="G431" s="21" t="n">
        <f aca="false">E431*F431</f>
        <v>949900</v>
      </c>
      <c r="H431" s="85" t="s">
        <v>157</v>
      </c>
      <c r="I431" s="85" t="s">
        <v>150</v>
      </c>
      <c r="J431" s="85" t="s">
        <v>282</v>
      </c>
      <c r="K431" s="86" t="n">
        <f aca="false">$K$425</f>
        <v>1</v>
      </c>
      <c r="L431" s="86" t="n">
        <f aca="false">E431*K431</f>
        <v>1</v>
      </c>
    </row>
    <row r="432" customFormat="false" ht="15" hidden="false" customHeight="true" outlineLevel="0" collapsed="false">
      <c r="A432" s="87"/>
      <c r="B432" s="88" t="s">
        <v>71</v>
      </c>
      <c r="C432" s="87"/>
      <c r="D432" s="87"/>
      <c r="E432" s="87"/>
      <c r="F432" s="87"/>
      <c r="G432" s="89" t="n">
        <f aca="false">SUM(G431:G431)</f>
        <v>949900</v>
      </c>
      <c r="H432" s="24"/>
      <c r="I432" s="24"/>
      <c r="J432" s="24"/>
      <c r="K432" s="24"/>
      <c r="L432" s="24"/>
    </row>
    <row r="433" customFormat="false" ht="15" hidden="false" customHeight="true" outlineLevel="0" collapsed="false">
      <c r="A433" s="90" t="s">
        <v>545</v>
      </c>
      <c r="B433" s="91" t="s">
        <v>546</v>
      </c>
      <c r="C433" s="92"/>
      <c r="D433" s="92"/>
      <c r="E433" s="92"/>
      <c r="F433" s="92"/>
      <c r="G433" s="93" t="n">
        <f aca="false">G429+G432</f>
        <v>1163750</v>
      </c>
      <c r="H433" s="24"/>
      <c r="I433" s="24"/>
      <c r="J433" s="24"/>
      <c r="K433" s="24"/>
      <c r="L433" s="24"/>
    </row>
    <row r="434" customFormat="false" ht="15" hidden="false" customHeight="true" outlineLevel="0" collapsed="false">
      <c r="A434" s="37" t="s">
        <v>547</v>
      </c>
      <c r="B434" s="20" t="s">
        <v>548</v>
      </c>
      <c r="C434" s="24"/>
      <c r="D434" s="24"/>
      <c r="E434" s="94" t="n">
        <f aca="false">Parameter!$B$4</f>
        <v>0.15</v>
      </c>
      <c r="F434" s="24"/>
      <c r="G434" s="21" t="n">
        <f aca="false">G433*E434</f>
        <v>174562.5</v>
      </c>
      <c r="H434" s="24"/>
      <c r="I434" s="24"/>
      <c r="J434" s="24"/>
      <c r="K434" s="24"/>
      <c r="L434" s="24"/>
    </row>
    <row r="435" customFormat="false" ht="15" hidden="false" customHeight="true" outlineLevel="0" collapsed="false">
      <c r="A435" s="95" t="s">
        <v>549</v>
      </c>
      <c r="B435" s="96" t="s">
        <v>550</v>
      </c>
      <c r="C435" s="97"/>
      <c r="D435" s="97"/>
      <c r="E435" s="97"/>
      <c r="F435" s="97"/>
      <c r="G435" s="98" t="n">
        <f aca="false">G433+G434</f>
        <v>1338312.5</v>
      </c>
      <c r="H435" s="24"/>
      <c r="I435" s="24"/>
      <c r="J435" s="24"/>
      <c r="K435" s="24"/>
      <c r="L435" s="24"/>
    </row>
    <row r="437" customFormat="false" ht="23.25" hidden="false" customHeight="true" outlineLevel="0" collapsed="false">
      <c r="A437" s="35" t="s">
        <v>159</v>
      </c>
      <c r="B437" s="35" t="s">
        <v>582</v>
      </c>
      <c r="C437" s="35"/>
      <c r="D437" s="35"/>
      <c r="E437" s="35"/>
      <c r="F437" s="35"/>
      <c r="G437" s="35"/>
      <c r="H437" s="35"/>
      <c r="I437" s="35"/>
      <c r="J437" s="81" t="s">
        <v>537</v>
      </c>
      <c r="K437" s="82" t="n">
        <v>5.76</v>
      </c>
      <c r="L437" s="35"/>
    </row>
    <row r="438" customFormat="false" ht="23.25" hidden="false" customHeight="true" outlineLevel="0" collapsed="false">
      <c r="A438" s="83" t="s">
        <v>538</v>
      </c>
      <c r="B438" s="25" t="s">
        <v>567</v>
      </c>
      <c r="C438" s="24"/>
      <c r="D438" s="24"/>
      <c r="E438" s="24"/>
      <c r="F438" s="24"/>
      <c r="G438" s="26" t="n">
        <v>0</v>
      </c>
      <c r="H438" s="24"/>
      <c r="I438" s="24"/>
      <c r="J438" s="24"/>
      <c r="K438" s="24"/>
      <c r="L438" s="24"/>
    </row>
    <row r="439" customFormat="false" ht="23.25" hidden="false" customHeight="true" outlineLevel="0" collapsed="false">
      <c r="A439" s="83" t="s">
        <v>543</v>
      </c>
      <c r="B439" s="25" t="s">
        <v>568</v>
      </c>
      <c r="C439" s="24"/>
      <c r="D439" s="24"/>
      <c r="E439" s="24"/>
      <c r="F439" s="24"/>
      <c r="G439" s="24"/>
      <c r="H439" s="24"/>
      <c r="I439" s="24"/>
      <c r="J439" s="24"/>
      <c r="K439" s="24"/>
      <c r="L439" s="24"/>
    </row>
    <row r="440" customFormat="false" ht="15" hidden="false" customHeight="true" outlineLevel="0" collapsed="false">
      <c r="A440" s="24"/>
      <c r="B440" s="20" t="s">
        <v>160</v>
      </c>
      <c r="C440" s="37" t="s">
        <v>469</v>
      </c>
      <c r="D440" s="37" t="s">
        <v>81</v>
      </c>
      <c r="E440" s="99" t="n">
        <v>1</v>
      </c>
      <c r="F440" s="39" t="n">
        <f aca="false">'Perhitungan Bahan'!I70</f>
        <v>1547000</v>
      </c>
      <c r="G440" s="21" t="n">
        <f aca="false">E440*F440</f>
        <v>1547000</v>
      </c>
      <c r="H440" s="24"/>
      <c r="I440" s="24"/>
      <c r="J440" s="24"/>
      <c r="K440" s="24"/>
      <c r="L440" s="24"/>
    </row>
    <row r="441" customFormat="false" ht="15" hidden="false" customHeight="true" outlineLevel="0" collapsed="false">
      <c r="A441" s="87"/>
      <c r="B441" s="88" t="s">
        <v>569</v>
      </c>
      <c r="C441" s="87"/>
      <c r="D441" s="87"/>
      <c r="E441" s="87"/>
      <c r="F441" s="87"/>
      <c r="G441" s="89" t="n">
        <f aca="false">G440</f>
        <v>1547000</v>
      </c>
      <c r="H441" s="24"/>
      <c r="I441" s="24"/>
      <c r="J441" s="24"/>
      <c r="K441" s="24"/>
      <c r="L441" s="24"/>
    </row>
    <row r="442" customFormat="false" ht="15" hidden="false" customHeight="true" outlineLevel="0" collapsed="false">
      <c r="A442" s="90" t="s">
        <v>545</v>
      </c>
      <c r="B442" s="91" t="s">
        <v>546</v>
      </c>
      <c r="C442" s="92"/>
      <c r="D442" s="92"/>
      <c r="E442" s="92"/>
      <c r="F442" s="92"/>
      <c r="G442" s="93" t="n">
        <f aca="false">G438+G441</f>
        <v>1547000</v>
      </c>
      <c r="H442" s="24"/>
      <c r="I442" s="24"/>
      <c r="J442" s="24"/>
      <c r="K442" s="24"/>
      <c r="L442" s="24"/>
    </row>
    <row r="443" customFormat="false" ht="15" hidden="false" customHeight="true" outlineLevel="0" collapsed="false">
      <c r="A443" s="37" t="s">
        <v>547</v>
      </c>
      <c r="B443" s="20" t="s">
        <v>548</v>
      </c>
      <c r="C443" s="24"/>
      <c r="D443" s="24"/>
      <c r="E443" s="94" t="n">
        <f aca="false">Parameter!$B$4</f>
        <v>0.15</v>
      </c>
      <c r="F443" s="24"/>
      <c r="G443" s="21" t="n">
        <f aca="false">G442*E443</f>
        <v>232050</v>
      </c>
      <c r="H443" s="24"/>
      <c r="I443" s="24"/>
      <c r="J443" s="24"/>
      <c r="K443" s="24"/>
      <c r="L443" s="24"/>
    </row>
    <row r="444" customFormat="false" ht="15" hidden="false" customHeight="true" outlineLevel="0" collapsed="false">
      <c r="A444" s="95" t="s">
        <v>549</v>
      </c>
      <c r="B444" s="96" t="s">
        <v>550</v>
      </c>
      <c r="C444" s="97"/>
      <c r="D444" s="97"/>
      <c r="E444" s="97"/>
      <c r="F444" s="97"/>
      <c r="G444" s="98" t="n">
        <f aca="false">G442+G443</f>
        <v>1779050</v>
      </c>
      <c r="H444" s="24"/>
      <c r="I444" s="24"/>
      <c r="J444" s="24"/>
      <c r="K444" s="24"/>
      <c r="L444" s="24"/>
    </row>
    <row r="446" customFormat="false" ht="23.25" hidden="false" customHeight="true" outlineLevel="0" collapsed="false">
      <c r="A446" s="35" t="s">
        <v>161</v>
      </c>
      <c r="B446" s="35" t="s">
        <v>583</v>
      </c>
      <c r="C446" s="35"/>
      <c r="D446" s="35"/>
      <c r="E446" s="35"/>
      <c r="F446" s="35"/>
      <c r="G446" s="35"/>
      <c r="H446" s="35"/>
      <c r="I446" s="35"/>
      <c r="J446" s="81" t="s">
        <v>537</v>
      </c>
      <c r="K446" s="82" t="n">
        <v>0.2</v>
      </c>
      <c r="L446" s="35"/>
    </row>
    <row r="447" customFormat="false" ht="23.25" hidden="false" customHeight="true" outlineLevel="0" collapsed="false">
      <c r="A447" s="83" t="s">
        <v>538</v>
      </c>
      <c r="B447" s="25" t="s">
        <v>567</v>
      </c>
      <c r="C447" s="24"/>
      <c r="D447" s="24"/>
      <c r="E447" s="24"/>
      <c r="F447" s="24"/>
      <c r="G447" s="26" t="n">
        <v>0</v>
      </c>
      <c r="H447" s="24"/>
      <c r="I447" s="24"/>
      <c r="J447" s="24"/>
      <c r="K447" s="24"/>
      <c r="L447" s="24"/>
    </row>
    <row r="448" customFormat="false" ht="23.25" hidden="false" customHeight="true" outlineLevel="0" collapsed="false">
      <c r="A448" s="83" t="s">
        <v>543</v>
      </c>
      <c r="B448" s="25" t="s">
        <v>568</v>
      </c>
      <c r="C448" s="24"/>
      <c r="D448" s="24"/>
      <c r="E448" s="24"/>
      <c r="F448" s="24"/>
      <c r="G448" s="24"/>
      <c r="H448" s="24"/>
      <c r="I448" s="24"/>
      <c r="J448" s="24"/>
      <c r="K448" s="24"/>
      <c r="L448" s="24"/>
    </row>
    <row r="449" customFormat="false" ht="15" hidden="false" customHeight="true" outlineLevel="0" collapsed="false">
      <c r="A449" s="24"/>
      <c r="B449" s="20" t="s">
        <v>162</v>
      </c>
      <c r="C449" s="37" t="s">
        <v>471</v>
      </c>
      <c r="D449" s="37" t="s">
        <v>81</v>
      </c>
      <c r="E449" s="99" t="n">
        <v>1</v>
      </c>
      <c r="F449" s="39" t="n">
        <f aca="false">'Perhitungan Bahan'!I71</f>
        <v>950000</v>
      </c>
      <c r="G449" s="21" t="n">
        <f aca="false">E449*F449</f>
        <v>950000</v>
      </c>
      <c r="H449" s="24"/>
      <c r="I449" s="24"/>
      <c r="J449" s="24"/>
      <c r="K449" s="24"/>
      <c r="L449" s="24"/>
    </row>
    <row r="450" customFormat="false" ht="15" hidden="false" customHeight="true" outlineLevel="0" collapsed="false">
      <c r="A450" s="87"/>
      <c r="B450" s="88" t="s">
        <v>569</v>
      </c>
      <c r="C450" s="87"/>
      <c r="D450" s="87"/>
      <c r="E450" s="87"/>
      <c r="F450" s="87"/>
      <c r="G450" s="89" t="n">
        <f aca="false">G449</f>
        <v>950000</v>
      </c>
      <c r="H450" s="24"/>
      <c r="I450" s="24"/>
      <c r="J450" s="24"/>
      <c r="K450" s="24"/>
      <c r="L450" s="24"/>
    </row>
    <row r="451" customFormat="false" ht="15" hidden="false" customHeight="true" outlineLevel="0" collapsed="false">
      <c r="A451" s="90" t="s">
        <v>545</v>
      </c>
      <c r="B451" s="91" t="s">
        <v>546</v>
      </c>
      <c r="C451" s="92"/>
      <c r="D451" s="92"/>
      <c r="E451" s="92"/>
      <c r="F451" s="92"/>
      <c r="G451" s="93" t="n">
        <f aca="false">G447+G450</f>
        <v>950000</v>
      </c>
      <c r="H451" s="24"/>
      <c r="I451" s="24"/>
      <c r="J451" s="24"/>
      <c r="K451" s="24"/>
      <c r="L451" s="24"/>
    </row>
    <row r="452" customFormat="false" ht="15" hidden="false" customHeight="true" outlineLevel="0" collapsed="false">
      <c r="A452" s="37" t="s">
        <v>547</v>
      </c>
      <c r="B452" s="20" t="s">
        <v>548</v>
      </c>
      <c r="C452" s="24"/>
      <c r="D452" s="24"/>
      <c r="E452" s="94" t="n">
        <f aca="false">Parameter!$B$4</f>
        <v>0.15</v>
      </c>
      <c r="F452" s="24"/>
      <c r="G452" s="21" t="n">
        <f aca="false">G451*E452</f>
        <v>142500</v>
      </c>
      <c r="H452" s="24"/>
      <c r="I452" s="24"/>
      <c r="J452" s="24"/>
      <c r="K452" s="24"/>
      <c r="L452" s="24"/>
    </row>
    <row r="453" customFormat="false" ht="15" hidden="false" customHeight="true" outlineLevel="0" collapsed="false">
      <c r="A453" s="95" t="s">
        <v>549</v>
      </c>
      <c r="B453" s="96" t="s">
        <v>550</v>
      </c>
      <c r="C453" s="97"/>
      <c r="D453" s="97"/>
      <c r="E453" s="97"/>
      <c r="F453" s="97"/>
      <c r="G453" s="98" t="n">
        <f aca="false">G451+G452</f>
        <v>1092500</v>
      </c>
      <c r="H453" s="24"/>
      <c r="I453" s="24"/>
      <c r="J453" s="24"/>
      <c r="K453" s="24"/>
      <c r="L453" s="24"/>
    </row>
    <row r="455" customFormat="false" ht="23.25" hidden="false" customHeight="true" outlineLevel="0" collapsed="false">
      <c r="A455" s="35" t="s">
        <v>165</v>
      </c>
      <c r="B455" s="35" t="s">
        <v>584</v>
      </c>
      <c r="C455" s="35"/>
      <c r="D455" s="35"/>
      <c r="E455" s="35"/>
      <c r="F455" s="35"/>
      <c r="G455" s="35"/>
      <c r="H455" s="35"/>
      <c r="I455" s="35"/>
      <c r="J455" s="81" t="s">
        <v>537</v>
      </c>
      <c r="K455" s="82" t="n">
        <f aca="false">Volume!$B$51</f>
        <v>165.923</v>
      </c>
      <c r="L455" s="35"/>
    </row>
    <row r="456" customFormat="false" ht="15" hidden="false" customHeight="true" outlineLevel="0" collapsed="false">
      <c r="A456" s="83" t="s">
        <v>538</v>
      </c>
      <c r="B456" s="25" t="s">
        <v>539</v>
      </c>
      <c r="C456" s="24"/>
      <c r="D456" s="24"/>
      <c r="E456" s="24"/>
      <c r="F456" s="24"/>
      <c r="G456" s="24"/>
      <c r="H456" s="24"/>
      <c r="I456" s="24"/>
      <c r="J456" s="24"/>
      <c r="K456" s="24"/>
      <c r="L456" s="24"/>
    </row>
    <row r="457" customFormat="false" ht="15" hidden="false" customHeight="true" outlineLevel="0" collapsed="false">
      <c r="A457" s="24"/>
      <c r="B457" s="20" t="s">
        <v>487</v>
      </c>
      <c r="C457" s="37" t="s">
        <v>488</v>
      </c>
      <c r="D457" s="37" t="s">
        <v>540</v>
      </c>
      <c r="E457" s="84" t="n">
        <v>0.02</v>
      </c>
      <c r="F457" s="21" t="n">
        <f aca="false">INDEX('Perhitungan Upah'!$C$5:$C$13,MATCH(C457,'Perhitungan Upah'!$B$5:$B$13,0))</f>
        <v>130500</v>
      </c>
      <c r="G457" s="21" t="n">
        <f aca="false">E457*F457</f>
        <v>2610</v>
      </c>
      <c r="H457" s="85" t="s">
        <v>165</v>
      </c>
      <c r="I457" s="85" t="s">
        <v>163</v>
      </c>
      <c r="J457" s="85" t="s">
        <v>541</v>
      </c>
      <c r="K457" s="86" t="n">
        <f aca="false">$K$455</f>
        <v>165.923</v>
      </c>
      <c r="L457" s="86" t="n">
        <f aca="false">E457*K457</f>
        <v>3.31846</v>
      </c>
    </row>
    <row r="458" customFormat="false" ht="15" hidden="false" customHeight="true" outlineLevel="0" collapsed="false">
      <c r="A458" s="24"/>
      <c r="B458" s="20" t="s">
        <v>496</v>
      </c>
      <c r="C458" s="37" t="s">
        <v>497</v>
      </c>
      <c r="D458" s="37" t="s">
        <v>540</v>
      </c>
      <c r="E458" s="84" t="n">
        <v>0.063</v>
      </c>
      <c r="F458" s="21" t="n">
        <f aca="false">INDEX('Perhitungan Upah'!$C$5:$C$13,MATCH(C458,'Perhitungan Upah'!$B$5:$B$13,0))</f>
        <v>165000</v>
      </c>
      <c r="G458" s="21" t="n">
        <f aca="false">E458*F458</f>
        <v>10395</v>
      </c>
      <c r="H458" s="85" t="s">
        <v>165</v>
      </c>
      <c r="I458" s="85" t="s">
        <v>163</v>
      </c>
      <c r="J458" s="85" t="s">
        <v>541</v>
      </c>
      <c r="K458" s="86" t="n">
        <f aca="false">$K$455</f>
        <v>165.923</v>
      </c>
      <c r="L458" s="86" t="n">
        <f aca="false">E458*K458</f>
        <v>10.453149</v>
      </c>
    </row>
    <row r="459" customFormat="false" ht="15" hidden="false" customHeight="true" outlineLevel="0" collapsed="false">
      <c r="A459" s="24"/>
      <c r="B459" s="20" t="s">
        <v>502</v>
      </c>
      <c r="C459" s="37" t="s">
        <v>503</v>
      </c>
      <c r="D459" s="37" t="s">
        <v>540</v>
      </c>
      <c r="E459" s="84" t="n">
        <v>0.0063</v>
      </c>
      <c r="F459" s="21" t="n">
        <f aca="false">INDEX('Perhitungan Upah'!$C$5:$C$13,MATCH(C459,'Perhitungan Upah'!$B$5:$B$13,0))</f>
        <v>198900</v>
      </c>
      <c r="G459" s="21" t="n">
        <f aca="false">E459*F459</f>
        <v>1253.07</v>
      </c>
      <c r="H459" s="85" t="s">
        <v>165</v>
      </c>
      <c r="I459" s="85" t="s">
        <v>163</v>
      </c>
      <c r="J459" s="85" t="s">
        <v>541</v>
      </c>
      <c r="K459" s="86" t="n">
        <f aca="false">$K$455</f>
        <v>165.923</v>
      </c>
      <c r="L459" s="86" t="n">
        <f aca="false">E459*K459</f>
        <v>1.0453149</v>
      </c>
    </row>
    <row r="460" customFormat="false" ht="15" hidden="false" customHeight="true" outlineLevel="0" collapsed="false">
      <c r="A460" s="24"/>
      <c r="B460" s="20" t="s">
        <v>504</v>
      </c>
      <c r="C460" s="37" t="s">
        <v>505</v>
      </c>
      <c r="D460" s="37" t="s">
        <v>540</v>
      </c>
      <c r="E460" s="84" t="n">
        <v>0.0025</v>
      </c>
      <c r="F460" s="21" t="n">
        <f aca="false">INDEX('Perhitungan Upah'!$C$5:$C$13,MATCH(C460,'Perhitungan Upah'!$B$5:$B$13,0))</f>
        <v>228300</v>
      </c>
      <c r="G460" s="21" t="n">
        <f aca="false">E460*F460</f>
        <v>570.75</v>
      </c>
      <c r="H460" s="85" t="s">
        <v>165</v>
      </c>
      <c r="I460" s="85" t="s">
        <v>163</v>
      </c>
      <c r="J460" s="85" t="s">
        <v>541</v>
      </c>
      <c r="K460" s="86" t="n">
        <f aca="false">$K$455</f>
        <v>165.923</v>
      </c>
      <c r="L460" s="86" t="n">
        <f aca="false">E460*K460</f>
        <v>0.4148075</v>
      </c>
    </row>
    <row r="461" customFormat="false" ht="15" hidden="false" customHeight="true" outlineLevel="0" collapsed="false">
      <c r="A461" s="87"/>
      <c r="B461" s="88" t="s">
        <v>542</v>
      </c>
      <c r="C461" s="87"/>
      <c r="D461" s="87"/>
      <c r="E461" s="87"/>
      <c r="F461" s="87"/>
      <c r="G461" s="89" t="n">
        <f aca="false">SUM(G457:G460)</f>
        <v>14828.82</v>
      </c>
      <c r="H461" s="24"/>
      <c r="I461" s="24"/>
      <c r="J461" s="24"/>
      <c r="K461" s="24"/>
      <c r="L461" s="24"/>
    </row>
    <row r="462" customFormat="false" ht="15" hidden="false" customHeight="true" outlineLevel="0" collapsed="false">
      <c r="A462" s="83" t="s">
        <v>543</v>
      </c>
      <c r="B462" s="25" t="s">
        <v>544</v>
      </c>
      <c r="C462" s="24"/>
      <c r="D462" s="24"/>
      <c r="E462" s="24"/>
      <c r="F462" s="24"/>
      <c r="G462" s="24"/>
      <c r="H462" s="24"/>
      <c r="I462" s="24"/>
      <c r="J462" s="24"/>
      <c r="K462" s="24"/>
      <c r="L462" s="24"/>
    </row>
    <row r="463" customFormat="false" ht="15" hidden="false" customHeight="true" outlineLevel="0" collapsed="false">
      <c r="A463" s="24"/>
      <c r="B463" s="20" t="s">
        <v>383</v>
      </c>
      <c r="C463" s="37" t="s">
        <v>382</v>
      </c>
      <c r="D463" s="37" t="s">
        <v>299</v>
      </c>
      <c r="E463" s="84" t="n">
        <v>0.105</v>
      </c>
      <c r="F463" s="21" t="n">
        <f aca="false">VLOOKUP(C463,'Perhitungan Bahan'!$A$5:$J$61,10,FALSE())</f>
        <v>30000</v>
      </c>
      <c r="G463" s="21" t="n">
        <f aca="false">E463*F463</f>
        <v>3150</v>
      </c>
      <c r="H463" s="85" t="s">
        <v>165</v>
      </c>
      <c r="I463" s="85" t="s">
        <v>163</v>
      </c>
      <c r="J463" s="85" t="s">
        <v>282</v>
      </c>
      <c r="K463" s="86" t="n">
        <f aca="false">$K$455</f>
        <v>165.923</v>
      </c>
      <c r="L463" s="86" t="n">
        <f aca="false">E463*K463</f>
        <v>17.421915</v>
      </c>
    </row>
    <row r="464" customFormat="false" ht="15" hidden="false" customHeight="true" outlineLevel="0" collapsed="false">
      <c r="A464" s="24"/>
      <c r="B464" s="20" t="s">
        <v>386</v>
      </c>
      <c r="C464" s="37" t="s">
        <v>385</v>
      </c>
      <c r="D464" s="37" t="s">
        <v>299</v>
      </c>
      <c r="E464" s="84" t="n">
        <v>0.105</v>
      </c>
      <c r="F464" s="21" t="n">
        <f aca="false">VLOOKUP(C464,'Perhitungan Bahan'!$A$5:$J$61,10,FALSE())</f>
        <v>40000</v>
      </c>
      <c r="G464" s="21" t="n">
        <f aca="false">E464*F464</f>
        <v>4200</v>
      </c>
      <c r="H464" s="85" t="s">
        <v>165</v>
      </c>
      <c r="I464" s="85" t="s">
        <v>163</v>
      </c>
      <c r="J464" s="85" t="s">
        <v>282</v>
      </c>
      <c r="K464" s="86" t="n">
        <f aca="false">$K$455</f>
        <v>165.923</v>
      </c>
      <c r="L464" s="86" t="n">
        <f aca="false">E464*K464</f>
        <v>17.421915</v>
      </c>
    </row>
    <row r="465" customFormat="false" ht="15" hidden="false" customHeight="true" outlineLevel="0" collapsed="false">
      <c r="A465" s="24"/>
      <c r="B465" s="20" t="s">
        <v>388</v>
      </c>
      <c r="C465" s="37" t="s">
        <v>387</v>
      </c>
      <c r="D465" s="37" t="s">
        <v>299</v>
      </c>
      <c r="E465" s="84" t="n">
        <v>0.273</v>
      </c>
      <c r="F465" s="21" t="n">
        <f aca="false">VLOOKUP(C465,'Perhitungan Bahan'!$A$5:$J$61,10,FALSE())</f>
        <v>44800</v>
      </c>
      <c r="G465" s="21" t="n">
        <f aca="false">E465*F465</f>
        <v>12230.4</v>
      </c>
      <c r="H465" s="85" t="s">
        <v>165</v>
      </c>
      <c r="I465" s="85" t="s">
        <v>163</v>
      </c>
      <c r="J465" s="85" t="s">
        <v>282</v>
      </c>
      <c r="K465" s="86" t="n">
        <f aca="false">$K$455</f>
        <v>165.923</v>
      </c>
      <c r="L465" s="86" t="n">
        <f aca="false">E465*K465</f>
        <v>45.296979</v>
      </c>
    </row>
    <row r="466" customFormat="false" ht="15" hidden="false" customHeight="true" outlineLevel="0" collapsed="false">
      <c r="A466" s="87"/>
      <c r="B466" s="88" t="s">
        <v>71</v>
      </c>
      <c r="C466" s="87"/>
      <c r="D466" s="87"/>
      <c r="E466" s="87"/>
      <c r="F466" s="87"/>
      <c r="G466" s="89" t="n">
        <f aca="false">SUM(G463:G465)</f>
        <v>19580.4</v>
      </c>
      <c r="H466" s="24"/>
      <c r="I466" s="24"/>
      <c r="J466" s="24"/>
      <c r="K466" s="24"/>
      <c r="L466" s="24"/>
    </row>
    <row r="467" customFormat="false" ht="15" hidden="false" customHeight="true" outlineLevel="0" collapsed="false">
      <c r="A467" s="90" t="s">
        <v>545</v>
      </c>
      <c r="B467" s="91" t="s">
        <v>546</v>
      </c>
      <c r="C467" s="92"/>
      <c r="D467" s="92"/>
      <c r="E467" s="92"/>
      <c r="F467" s="92"/>
      <c r="G467" s="93" t="n">
        <f aca="false">G461+G466</f>
        <v>34409.22</v>
      </c>
      <c r="H467" s="24"/>
      <c r="I467" s="24"/>
      <c r="J467" s="24"/>
      <c r="K467" s="24"/>
      <c r="L467" s="24"/>
    </row>
    <row r="468" customFormat="false" ht="15" hidden="false" customHeight="true" outlineLevel="0" collapsed="false">
      <c r="A468" s="37" t="s">
        <v>547</v>
      </c>
      <c r="B468" s="20" t="s">
        <v>548</v>
      </c>
      <c r="C468" s="24"/>
      <c r="D468" s="24"/>
      <c r="E468" s="94" t="n">
        <f aca="false">Parameter!$B$4</f>
        <v>0.15</v>
      </c>
      <c r="F468" s="24"/>
      <c r="G468" s="21" t="n">
        <f aca="false">G467*E468</f>
        <v>5161.383</v>
      </c>
      <c r="H468" s="24"/>
      <c r="I468" s="24"/>
      <c r="J468" s="24"/>
      <c r="K468" s="24"/>
      <c r="L468" s="24"/>
    </row>
    <row r="469" customFormat="false" ht="15" hidden="false" customHeight="true" outlineLevel="0" collapsed="false">
      <c r="A469" s="95" t="s">
        <v>549</v>
      </c>
      <c r="B469" s="96" t="s">
        <v>550</v>
      </c>
      <c r="C469" s="97"/>
      <c r="D469" s="97"/>
      <c r="E469" s="97"/>
      <c r="F469" s="97"/>
      <c r="G469" s="98" t="n">
        <f aca="false">G467+G468</f>
        <v>39570.603</v>
      </c>
      <c r="H469" s="24"/>
      <c r="I469" s="24"/>
      <c r="J469" s="24"/>
      <c r="K469" s="24"/>
      <c r="L469" s="24"/>
    </row>
    <row r="471" customFormat="false" ht="23.25" hidden="false" customHeight="true" outlineLevel="0" collapsed="false">
      <c r="A471" s="35" t="s">
        <v>167</v>
      </c>
      <c r="B471" s="35" t="s">
        <v>585</v>
      </c>
      <c r="C471" s="35"/>
      <c r="D471" s="35"/>
      <c r="E471" s="35"/>
      <c r="F471" s="35"/>
      <c r="G471" s="35"/>
      <c r="H471" s="35"/>
      <c r="I471" s="35"/>
      <c r="J471" s="81" t="s">
        <v>537</v>
      </c>
      <c r="K471" s="82" t="n">
        <f aca="false">Volume!$B$29</f>
        <v>77.1893048454133</v>
      </c>
      <c r="L471" s="35"/>
    </row>
    <row r="472" customFormat="false" ht="15" hidden="false" customHeight="true" outlineLevel="0" collapsed="false">
      <c r="A472" s="83" t="s">
        <v>538</v>
      </c>
      <c r="B472" s="25" t="s">
        <v>539</v>
      </c>
      <c r="C472" s="24"/>
      <c r="D472" s="24"/>
      <c r="E472" s="24"/>
      <c r="F472" s="24"/>
      <c r="G472" s="24"/>
      <c r="H472" s="24"/>
      <c r="I472" s="24"/>
      <c r="J472" s="24"/>
      <c r="K472" s="24"/>
      <c r="L472" s="24"/>
    </row>
    <row r="473" customFormat="false" ht="15" hidden="false" customHeight="true" outlineLevel="0" collapsed="false">
      <c r="A473" s="24"/>
      <c r="B473" s="20" t="s">
        <v>487</v>
      </c>
      <c r="C473" s="37" t="s">
        <v>488</v>
      </c>
      <c r="D473" s="37" t="s">
        <v>540</v>
      </c>
      <c r="E473" s="84" t="n">
        <v>0.02</v>
      </c>
      <c r="F473" s="21" t="n">
        <f aca="false">INDEX('Perhitungan Upah'!$C$5:$C$13,MATCH(C473,'Perhitungan Upah'!$B$5:$B$13,0))</f>
        <v>130500</v>
      </c>
      <c r="G473" s="21" t="n">
        <f aca="false">E473*F473</f>
        <v>2610</v>
      </c>
      <c r="H473" s="85" t="s">
        <v>167</v>
      </c>
      <c r="I473" s="85" t="s">
        <v>163</v>
      </c>
      <c r="J473" s="85" t="s">
        <v>541</v>
      </c>
      <c r="K473" s="86" t="n">
        <f aca="false">$K$471</f>
        <v>77.1893048454133</v>
      </c>
      <c r="L473" s="86" t="n">
        <f aca="false">E473*K473</f>
        <v>1.54378609690827</v>
      </c>
    </row>
    <row r="474" customFormat="false" ht="15" hidden="false" customHeight="true" outlineLevel="0" collapsed="false">
      <c r="A474" s="24"/>
      <c r="B474" s="20" t="s">
        <v>496</v>
      </c>
      <c r="C474" s="37" t="s">
        <v>497</v>
      </c>
      <c r="D474" s="37" t="s">
        <v>540</v>
      </c>
      <c r="E474" s="84" t="n">
        <v>0.063</v>
      </c>
      <c r="F474" s="21" t="n">
        <f aca="false">INDEX('Perhitungan Upah'!$C$5:$C$13,MATCH(C474,'Perhitungan Upah'!$B$5:$B$13,0))</f>
        <v>165000</v>
      </c>
      <c r="G474" s="21" t="n">
        <f aca="false">E474*F474</f>
        <v>10395</v>
      </c>
      <c r="H474" s="85" t="s">
        <v>167</v>
      </c>
      <c r="I474" s="85" t="s">
        <v>163</v>
      </c>
      <c r="J474" s="85" t="s">
        <v>541</v>
      </c>
      <c r="K474" s="86" t="n">
        <f aca="false">$K$471</f>
        <v>77.1893048454133</v>
      </c>
      <c r="L474" s="86" t="n">
        <f aca="false">E474*K474</f>
        <v>4.86292620526104</v>
      </c>
    </row>
    <row r="475" customFormat="false" ht="15" hidden="false" customHeight="true" outlineLevel="0" collapsed="false">
      <c r="A475" s="24"/>
      <c r="B475" s="20" t="s">
        <v>502</v>
      </c>
      <c r="C475" s="37" t="s">
        <v>503</v>
      </c>
      <c r="D475" s="37" t="s">
        <v>540</v>
      </c>
      <c r="E475" s="84" t="n">
        <v>0.0063</v>
      </c>
      <c r="F475" s="21" t="n">
        <f aca="false">INDEX('Perhitungan Upah'!$C$5:$C$13,MATCH(C475,'Perhitungan Upah'!$B$5:$B$13,0))</f>
        <v>198900</v>
      </c>
      <c r="G475" s="21" t="n">
        <f aca="false">E475*F475</f>
        <v>1253.07</v>
      </c>
      <c r="H475" s="85" t="s">
        <v>167</v>
      </c>
      <c r="I475" s="85" t="s">
        <v>163</v>
      </c>
      <c r="J475" s="85" t="s">
        <v>541</v>
      </c>
      <c r="K475" s="86" t="n">
        <f aca="false">$K$471</f>
        <v>77.1893048454133</v>
      </c>
      <c r="L475" s="86" t="n">
        <f aca="false">E475*K475</f>
        <v>0.486292620526104</v>
      </c>
    </row>
    <row r="476" customFormat="false" ht="15" hidden="false" customHeight="true" outlineLevel="0" collapsed="false">
      <c r="A476" s="24"/>
      <c r="B476" s="20" t="s">
        <v>504</v>
      </c>
      <c r="C476" s="37" t="s">
        <v>505</v>
      </c>
      <c r="D476" s="37" t="s">
        <v>540</v>
      </c>
      <c r="E476" s="84" t="n">
        <v>0.0025</v>
      </c>
      <c r="F476" s="21" t="n">
        <f aca="false">INDEX('Perhitungan Upah'!$C$5:$C$13,MATCH(C476,'Perhitungan Upah'!$B$5:$B$13,0))</f>
        <v>228300</v>
      </c>
      <c r="G476" s="21" t="n">
        <f aca="false">E476*F476</f>
        <v>570.75</v>
      </c>
      <c r="H476" s="85" t="s">
        <v>167</v>
      </c>
      <c r="I476" s="85" t="s">
        <v>163</v>
      </c>
      <c r="J476" s="85" t="s">
        <v>541</v>
      </c>
      <c r="K476" s="86" t="n">
        <f aca="false">$K$471</f>
        <v>77.1893048454133</v>
      </c>
      <c r="L476" s="86" t="n">
        <f aca="false">E476*K476</f>
        <v>0.192973262113533</v>
      </c>
    </row>
    <row r="477" customFormat="false" ht="15" hidden="false" customHeight="true" outlineLevel="0" collapsed="false">
      <c r="A477" s="87"/>
      <c r="B477" s="88" t="s">
        <v>542</v>
      </c>
      <c r="C477" s="87"/>
      <c r="D477" s="87"/>
      <c r="E477" s="87"/>
      <c r="F477" s="87"/>
      <c r="G477" s="89" t="n">
        <f aca="false">SUM(G473:G476)</f>
        <v>14828.82</v>
      </c>
      <c r="H477" s="24"/>
      <c r="I477" s="24"/>
      <c r="J477" s="24"/>
      <c r="K477" s="24"/>
      <c r="L477" s="24"/>
    </row>
    <row r="478" customFormat="false" ht="15" hidden="false" customHeight="true" outlineLevel="0" collapsed="false">
      <c r="A478" s="83" t="s">
        <v>543</v>
      </c>
      <c r="B478" s="25" t="s">
        <v>544</v>
      </c>
      <c r="C478" s="24"/>
      <c r="D478" s="24"/>
      <c r="E478" s="24"/>
      <c r="F478" s="24"/>
      <c r="G478" s="24"/>
      <c r="H478" s="24"/>
      <c r="I478" s="24"/>
      <c r="J478" s="24"/>
      <c r="K478" s="24"/>
      <c r="L478" s="24"/>
    </row>
    <row r="479" customFormat="false" ht="15" hidden="false" customHeight="true" outlineLevel="0" collapsed="false">
      <c r="A479" s="24"/>
      <c r="B479" s="20" t="s">
        <v>391</v>
      </c>
      <c r="C479" s="37" t="s">
        <v>390</v>
      </c>
      <c r="D479" s="37" t="s">
        <v>299</v>
      </c>
      <c r="E479" s="84" t="n">
        <v>0.105</v>
      </c>
      <c r="F479" s="21" t="n">
        <f aca="false">VLOOKUP(C479,'Perhitungan Bahan'!$A$5:$J$61,10,FALSE())</f>
        <v>86875</v>
      </c>
      <c r="G479" s="21" t="n">
        <f aca="false">E479*F479</f>
        <v>9121.875</v>
      </c>
      <c r="H479" s="85" t="s">
        <v>167</v>
      </c>
      <c r="I479" s="85" t="s">
        <v>163</v>
      </c>
      <c r="J479" s="85" t="s">
        <v>282</v>
      </c>
      <c r="K479" s="86" t="n">
        <f aca="false">$K$471</f>
        <v>77.1893048454133</v>
      </c>
      <c r="L479" s="86" t="n">
        <f aca="false">E479*K479</f>
        <v>8.10487700876839</v>
      </c>
    </row>
    <row r="480" customFormat="false" ht="15" hidden="false" customHeight="true" outlineLevel="0" collapsed="false">
      <c r="A480" s="24"/>
      <c r="B480" s="20" t="s">
        <v>395</v>
      </c>
      <c r="C480" s="37" t="s">
        <v>394</v>
      </c>
      <c r="D480" s="37" t="s">
        <v>345</v>
      </c>
      <c r="E480" s="84" t="n">
        <v>0.20222</v>
      </c>
      <c r="F480" s="21" t="n">
        <f aca="false">VLOOKUP(C480,'Perhitungan Bahan'!$A$5:$J$61,10,FALSE())</f>
        <v>196288</v>
      </c>
      <c r="G480" s="21" t="n">
        <f aca="false">E480*F480</f>
        <v>39693.35936</v>
      </c>
      <c r="H480" s="85" t="s">
        <v>167</v>
      </c>
      <c r="I480" s="85" t="s">
        <v>163</v>
      </c>
      <c r="J480" s="85" t="s">
        <v>282</v>
      </c>
      <c r="K480" s="86" t="n">
        <f aca="false">$K$471</f>
        <v>77.1893048454133</v>
      </c>
      <c r="L480" s="86" t="n">
        <f aca="false">E480*K480</f>
        <v>15.6092212258395</v>
      </c>
    </row>
    <row r="481" customFormat="false" ht="15" hidden="false" customHeight="true" outlineLevel="0" collapsed="false">
      <c r="A481" s="87"/>
      <c r="B481" s="88" t="s">
        <v>71</v>
      </c>
      <c r="C481" s="87"/>
      <c r="D481" s="87"/>
      <c r="E481" s="87"/>
      <c r="F481" s="87"/>
      <c r="G481" s="89" t="n">
        <f aca="false">SUM(G479:G480)</f>
        <v>48815.23436</v>
      </c>
      <c r="H481" s="24"/>
      <c r="I481" s="24"/>
      <c r="J481" s="24"/>
      <c r="K481" s="24"/>
      <c r="L481" s="24"/>
    </row>
    <row r="482" customFormat="false" ht="15" hidden="false" customHeight="true" outlineLevel="0" collapsed="false">
      <c r="A482" s="90" t="s">
        <v>545</v>
      </c>
      <c r="B482" s="91" t="s">
        <v>546</v>
      </c>
      <c r="C482" s="92"/>
      <c r="D482" s="92"/>
      <c r="E482" s="92"/>
      <c r="F482" s="92"/>
      <c r="G482" s="93" t="n">
        <f aca="false">G477+G481</f>
        <v>63644.05436</v>
      </c>
      <c r="H482" s="24"/>
      <c r="I482" s="24"/>
      <c r="J482" s="24"/>
      <c r="K482" s="24"/>
      <c r="L482" s="24"/>
    </row>
    <row r="483" customFormat="false" ht="15" hidden="false" customHeight="true" outlineLevel="0" collapsed="false">
      <c r="A483" s="37" t="s">
        <v>547</v>
      </c>
      <c r="B483" s="20" t="s">
        <v>548</v>
      </c>
      <c r="C483" s="24"/>
      <c r="D483" s="24"/>
      <c r="E483" s="94" t="n">
        <f aca="false">Parameter!$B$4</f>
        <v>0.15</v>
      </c>
      <c r="F483" s="24"/>
      <c r="G483" s="21" t="n">
        <f aca="false">G482*E483</f>
        <v>9546.608154</v>
      </c>
      <c r="H483" s="24"/>
      <c r="I483" s="24"/>
      <c r="J483" s="24"/>
      <c r="K483" s="24"/>
      <c r="L483" s="24"/>
    </row>
    <row r="484" customFormat="false" ht="15" hidden="false" customHeight="true" outlineLevel="0" collapsed="false">
      <c r="A484" s="95" t="s">
        <v>549</v>
      </c>
      <c r="B484" s="96" t="s">
        <v>550</v>
      </c>
      <c r="C484" s="97"/>
      <c r="D484" s="97"/>
      <c r="E484" s="97"/>
      <c r="F484" s="97"/>
      <c r="G484" s="98" t="n">
        <f aca="false">G482+G483</f>
        <v>73190.662514</v>
      </c>
      <c r="H484" s="24"/>
      <c r="I484" s="24"/>
      <c r="J484" s="24"/>
      <c r="K484" s="24"/>
      <c r="L484" s="24"/>
    </row>
    <row r="486" customFormat="false" ht="23.25" hidden="false" customHeight="true" outlineLevel="0" collapsed="false">
      <c r="A486" s="35" t="s">
        <v>171</v>
      </c>
      <c r="B486" s="35" t="s">
        <v>586</v>
      </c>
      <c r="C486" s="35"/>
      <c r="D486" s="35"/>
      <c r="E486" s="35"/>
      <c r="F486" s="35"/>
      <c r="G486" s="35"/>
      <c r="H486" s="35"/>
      <c r="I486" s="35"/>
      <c r="J486" s="81" t="s">
        <v>537</v>
      </c>
      <c r="K486" s="82" t="n">
        <v>1</v>
      </c>
      <c r="L486" s="35"/>
    </row>
    <row r="487" customFormat="false" ht="15" hidden="false" customHeight="true" outlineLevel="0" collapsed="false">
      <c r="A487" s="83" t="s">
        <v>538</v>
      </c>
      <c r="B487" s="25" t="s">
        <v>539</v>
      </c>
      <c r="C487" s="24"/>
      <c r="D487" s="24"/>
      <c r="E487" s="24"/>
      <c r="F487" s="24"/>
      <c r="G487" s="24"/>
      <c r="H487" s="24"/>
      <c r="I487" s="24"/>
      <c r="J487" s="24"/>
      <c r="K487" s="24"/>
      <c r="L487" s="24"/>
    </row>
    <row r="488" customFormat="false" ht="15" hidden="false" customHeight="true" outlineLevel="0" collapsed="false">
      <c r="A488" s="24"/>
      <c r="B488" s="20" t="s">
        <v>500</v>
      </c>
      <c r="C488" s="37" t="s">
        <v>501</v>
      </c>
      <c r="D488" s="37" t="s">
        <v>540</v>
      </c>
      <c r="E488" s="84" t="n">
        <v>1</v>
      </c>
      <c r="F488" s="21" t="n">
        <f aca="false">INDEX('Perhitungan Upah'!$C$5:$C$13,MATCH(C488,'Perhitungan Upah'!$B$5:$B$13,0))</f>
        <v>184400</v>
      </c>
      <c r="G488" s="21" t="n">
        <f aca="false">E488*F488</f>
        <v>184400</v>
      </c>
      <c r="H488" s="85" t="s">
        <v>171</v>
      </c>
      <c r="I488" s="85" t="s">
        <v>169</v>
      </c>
      <c r="J488" s="85" t="s">
        <v>541</v>
      </c>
      <c r="K488" s="86" t="n">
        <f aca="false">$K$486</f>
        <v>1</v>
      </c>
      <c r="L488" s="86" t="n">
        <f aca="false">E488*K488</f>
        <v>1</v>
      </c>
    </row>
    <row r="489" customFormat="false" ht="15" hidden="false" customHeight="true" outlineLevel="0" collapsed="false">
      <c r="A489" s="24"/>
      <c r="B489" s="20" t="s">
        <v>487</v>
      </c>
      <c r="C489" s="37" t="s">
        <v>488</v>
      </c>
      <c r="D489" s="37" t="s">
        <v>540</v>
      </c>
      <c r="E489" s="84" t="n">
        <v>0.5</v>
      </c>
      <c r="F489" s="21" t="n">
        <f aca="false">INDEX('Perhitungan Upah'!$C$5:$C$13,MATCH(C489,'Perhitungan Upah'!$B$5:$B$13,0))</f>
        <v>130500</v>
      </c>
      <c r="G489" s="21" t="n">
        <f aca="false">E489*F489</f>
        <v>65250</v>
      </c>
      <c r="H489" s="85" t="s">
        <v>171</v>
      </c>
      <c r="I489" s="85" t="s">
        <v>169</v>
      </c>
      <c r="J489" s="85" t="s">
        <v>541</v>
      </c>
      <c r="K489" s="86" t="n">
        <f aca="false">$K$486</f>
        <v>1</v>
      </c>
      <c r="L489" s="86" t="n">
        <f aca="false">E489*K489</f>
        <v>0.5</v>
      </c>
    </row>
    <row r="490" customFormat="false" ht="15" hidden="false" customHeight="true" outlineLevel="0" collapsed="false">
      <c r="A490" s="87"/>
      <c r="B490" s="88" t="s">
        <v>542</v>
      </c>
      <c r="C490" s="87"/>
      <c r="D490" s="87"/>
      <c r="E490" s="87"/>
      <c r="F490" s="87"/>
      <c r="G490" s="89" t="n">
        <f aca="false">SUM(G488:G489)</f>
        <v>249650</v>
      </c>
      <c r="H490" s="24"/>
      <c r="I490" s="24"/>
      <c r="J490" s="24"/>
      <c r="K490" s="24"/>
      <c r="L490" s="24"/>
    </row>
    <row r="491" customFormat="false" ht="15" hidden="false" customHeight="true" outlineLevel="0" collapsed="false">
      <c r="A491" s="83" t="s">
        <v>543</v>
      </c>
      <c r="B491" s="25" t="s">
        <v>544</v>
      </c>
      <c r="C491" s="24"/>
      <c r="D491" s="24"/>
      <c r="E491" s="24"/>
      <c r="F491" s="24"/>
      <c r="G491" s="24"/>
      <c r="H491" s="24"/>
      <c r="I491" s="24"/>
      <c r="J491" s="24"/>
      <c r="K491" s="24"/>
      <c r="L491" s="24"/>
    </row>
    <row r="492" customFormat="false" ht="15" hidden="false" customHeight="true" outlineLevel="0" collapsed="false">
      <c r="A492" s="24"/>
      <c r="B492" s="20" t="s">
        <v>437</v>
      </c>
      <c r="C492" s="37" t="s">
        <v>436</v>
      </c>
      <c r="D492" s="37" t="s">
        <v>154</v>
      </c>
      <c r="E492" s="84" t="n">
        <v>1</v>
      </c>
      <c r="F492" s="21" t="n">
        <f aca="false">VLOOKUP(C492,'Perhitungan Bahan'!$A$5:$J$61,10,FALSE())</f>
        <v>1982500</v>
      </c>
      <c r="G492" s="21" t="n">
        <f aca="false">E492*F492</f>
        <v>1982500</v>
      </c>
      <c r="H492" s="85" t="s">
        <v>171</v>
      </c>
      <c r="I492" s="85" t="s">
        <v>169</v>
      </c>
      <c r="J492" s="85" t="s">
        <v>282</v>
      </c>
      <c r="K492" s="86" t="n">
        <f aca="false">$K$486</f>
        <v>1</v>
      </c>
      <c r="L492" s="86" t="n">
        <f aca="false">E492*K492</f>
        <v>1</v>
      </c>
    </row>
    <row r="493" customFormat="false" ht="15" hidden="false" customHeight="true" outlineLevel="0" collapsed="false">
      <c r="A493" s="24"/>
      <c r="B493" s="20" t="s">
        <v>441</v>
      </c>
      <c r="C493" s="37" t="s">
        <v>440</v>
      </c>
      <c r="D493" s="37" t="s">
        <v>181</v>
      </c>
      <c r="E493" s="84" t="n">
        <v>1</v>
      </c>
      <c r="F493" s="21" t="n">
        <f aca="false">VLOOKUP(C493,'Perhitungan Bahan'!$A$5:$J$61,10,FALSE())</f>
        <v>150000</v>
      </c>
      <c r="G493" s="21" t="n">
        <f aca="false">E493*F493</f>
        <v>150000</v>
      </c>
      <c r="H493" s="85" t="s">
        <v>171</v>
      </c>
      <c r="I493" s="85" t="s">
        <v>169</v>
      </c>
      <c r="J493" s="85" t="s">
        <v>282</v>
      </c>
      <c r="K493" s="86" t="n">
        <f aca="false">$K$486</f>
        <v>1</v>
      </c>
      <c r="L493" s="86" t="n">
        <f aca="false">E493*K493</f>
        <v>1</v>
      </c>
    </row>
    <row r="494" customFormat="false" ht="15" hidden="false" customHeight="true" outlineLevel="0" collapsed="false">
      <c r="A494" s="87"/>
      <c r="B494" s="88" t="s">
        <v>71</v>
      </c>
      <c r="C494" s="87"/>
      <c r="D494" s="87"/>
      <c r="E494" s="87"/>
      <c r="F494" s="87"/>
      <c r="G494" s="89" t="n">
        <f aca="false">SUM(G492:G493)</f>
        <v>2132500</v>
      </c>
      <c r="H494" s="24"/>
      <c r="I494" s="24"/>
      <c r="J494" s="24"/>
      <c r="K494" s="24"/>
      <c r="L494" s="24"/>
    </row>
    <row r="495" customFormat="false" ht="15" hidden="false" customHeight="true" outlineLevel="0" collapsed="false">
      <c r="A495" s="90" t="s">
        <v>545</v>
      </c>
      <c r="B495" s="91" t="s">
        <v>546</v>
      </c>
      <c r="C495" s="92"/>
      <c r="D495" s="92"/>
      <c r="E495" s="92"/>
      <c r="F495" s="92"/>
      <c r="G495" s="93" t="n">
        <f aca="false">G490+G494</f>
        <v>2382150</v>
      </c>
      <c r="H495" s="24"/>
      <c r="I495" s="24"/>
      <c r="J495" s="24"/>
      <c r="K495" s="24"/>
      <c r="L495" s="24"/>
    </row>
    <row r="496" customFormat="false" ht="15" hidden="false" customHeight="true" outlineLevel="0" collapsed="false">
      <c r="A496" s="37" t="s">
        <v>547</v>
      </c>
      <c r="B496" s="20" t="s">
        <v>548</v>
      </c>
      <c r="C496" s="24"/>
      <c r="D496" s="24"/>
      <c r="E496" s="94" t="n">
        <f aca="false">Parameter!$B$4</f>
        <v>0.15</v>
      </c>
      <c r="F496" s="24"/>
      <c r="G496" s="21" t="n">
        <f aca="false">G495*E496</f>
        <v>357322.5</v>
      </c>
      <c r="H496" s="24"/>
      <c r="I496" s="24"/>
      <c r="J496" s="24"/>
      <c r="K496" s="24"/>
      <c r="L496" s="24"/>
    </row>
    <row r="497" customFormat="false" ht="15" hidden="false" customHeight="true" outlineLevel="0" collapsed="false">
      <c r="A497" s="95" t="s">
        <v>549</v>
      </c>
      <c r="B497" s="96" t="s">
        <v>550</v>
      </c>
      <c r="C497" s="97"/>
      <c r="D497" s="97"/>
      <c r="E497" s="97"/>
      <c r="F497" s="97"/>
      <c r="G497" s="98" t="n">
        <f aca="false">G495+G496</f>
        <v>2739472.5</v>
      </c>
      <c r="H497" s="24"/>
      <c r="I497" s="24"/>
      <c r="J497" s="24"/>
      <c r="K497" s="24"/>
      <c r="L497" s="24"/>
    </row>
    <row r="499" customFormat="false" ht="23.25" hidden="false" customHeight="true" outlineLevel="0" collapsed="false">
      <c r="A499" s="35" t="s">
        <v>173</v>
      </c>
      <c r="B499" s="35" t="s">
        <v>587</v>
      </c>
      <c r="C499" s="35"/>
      <c r="D499" s="35"/>
      <c r="E499" s="35"/>
      <c r="F499" s="35"/>
      <c r="G499" s="35"/>
      <c r="H499" s="35"/>
      <c r="I499" s="35"/>
      <c r="J499" s="81" t="s">
        <v>537</v>
      </c>
      <c r="K499" s="82" t="n">
        <v>1</v>
      </c>
      <c r="L499" s="35"/>
    </row>
    <row r="500" customFormat="false" ht="15" hidden="false" customHeight="true" outlineLevel="0" collapsed="false">
      <c r="A500" s="83" t="s">
        <v>538</v>
      </c>
      <c r="B500" s="25" t="s">
        <v>539</v>
      </c>
      <c r="C500" s="24"/>
      <c r="D500" s="24"/>
      <c r="E500" s="24"/>
      <c r="F500" s="24"/>
      <c r="G500" s="24"/>
      <c r="H500" s="24"/>
      <c r="I500" s="24"/>
      <c r="J500" s="24"/>
      <c r="K500" s="24"/>
      <c r="L500" s="24"/>
    </row>
    <row r="501" customFormat="false" ht="15" hidden="false" customHeight="true" outlineLevel="0" collapsed="false">
      <c r="A501" s="24"/>
      <c r="B501" s="20" t="s">
        <v>500</v>
      </c>
      <c r="C501" s="37" t="s">
        <v>501</v>
      </c>
      <c r="D501" s="37" t="s">
        <v>540</v>
      </c>
      <c r="E501" s="84" t="n">
        <v>0.3</v>
      </c>
      <c r="F501" s="21" t="n">
        <f aca="false">INDEX('Perhitungan Upah'!$C$5:$C$13,MATCH(C501,'Perhitungan Upah'!$B$5:$B$13,0))</f>
        <v>184400</v>
      </c>
      <c r="G501" s="21" t="n">
        <f aca="false">E501*F501</f>
        <v>55320</v>
      </c>
      <c r="H501" s="85" t="s">
        <v>173</v>
      </c>
      <c r="I501" s="85" t="s">
        <v>169</v>
      </c>
      <c r="J501" s="85" t="s">
        <v>541</v>
      </c>
      <c r="K501" s="86" t="n">
        <f aca="false">$K$499</f>
        <v>1</v>
      </c>
      <c r="L501" s="86" t="n">
        <f aca="false">E501*K501</f>
        <v>0.3</v>
      </c>
    </row>
    <row r="502" customFormat="false" ht="15" hidden="false" customHeight="true" outlineLevel="0" collapsed="false">
      <c r="A502" s="87"/>
      <c r="B502" s="88" t="s">
        <v>542</v>
      </c>
      <c r="C502" s="87"/>
      <c r="D502" s="87"/>
      <c r="E502" s="87"/>
      <c r="F502" s="87"/>
      <c r="G502" s="89" t="n">
        <f aca="false">SUM(G501:G501)</f>
        <v>55320</v>
      </c>
      <c r="H502" s="24"/>
      <c r="I502" s="24"/>
      <c r="J502" s="24"/>
      <c r="K502" s="24"/>
      <c r="L502" s="24"/>
    </row>
    <row r="503" customFormat="false" ht="15" hidden="false" customHeight="true" outlineLevel="0" collapsed="false">
      <c r="A503" s="83" t="s">
        <v>543</v>
      </c>
      <c r="B503" s="25" t="s">
        <v>544</v>
      </c>
      <c r="C503" s="24"/>
      <c r="D503" s="24"/>
      <c r="E503" s="24"/>
      <c r="F503" s="24"/>
      <c r="G503" s="24"/>
      <c r="H503" s="24"/>
      <c r="I503" s="24"/>
      <c r="J503" s="24"/>
      <c r="K503" s="24"/>
      <c r="L503" s="24"/>
    </row>
    <row r="504" customFormat="false" ht="15" hidden="false" customHeight="true" outlineLevel="0" collapsed="false">
      <c r="A504" s="24"/>
      <c r="B504" s="20" t="s">
        <v>174</v>
      </c>
      <c r="C504" s="37" t="s">
        <v>442</v>
      </c>
      <c r="D504" s="37" t="s">
        <v>175</v>
      </c>
      <c r="E504" s="84" t="n">
        <v>1</v>
      </c>
      <c r="F504" s="21" t="n">
        <f aca="false">VLOOKUP(C504,'Perhitungan Bahan'!$A$5:$J$61,10,FALSE())</f>
        <v>425000</v>
      </c>
      <c r="G504" s="21" t="n">
        <f aca="false">E504*F504</f>
        <v>425000</v>
      </c>
      <c r="H504" s="85" t="s">
        <v>173</v>
      </c>
      <c r="I504" s="85" t="s">
        <v>169</v>
      </c>
      <c r="J504" s="85" t="s">
        <v>282</v>
      </c>
      <c r="K504" s="86" t="n">
        <f aca="false">$K$499</f>
        <v>1</v>
      </c>
      <c r="L504" s="86" t="n">
        <f aca="false">E504*K504</f>
        <v>1</v>
      </c>
    </row>
    <row r="505" customFormat="false" ht="15" hidden="false" customHeight="true" outlineLevel="0" collapsed="false">
      <c r="A505" s="87"/>
      <c r="B505" s="88" t="s">
        <v>71</v>
      </c>
      <c r="C505" s="87"/>
      <c r="D505" s="87"/>
      <c r="E505" s="87"/>
      <c r="F505" s="87"/>
      <c r="G505" s="89" t="n">
        <f aca="false">SUM(G504:G504)</f>
        <v>425000</v>
      </c>
      <c r="H505" s="24"/>
      <c r="I505" s="24"/>
      <c r="J505" s="24"/>
      <c r="K505" s="24"/>
      <c r="L505" s="24"/>
    </row>
    <row r="506" customFormat="false" ht="15" hidden="false" customHeight="true" outlineLevel="0" collapsed="false">
      <c r="A506" s="90" t="s">
        <v>545</v>
      </c>
      <c r="B506" s="91" t="s">
        <v>546</v>
      </c>
      <c r="C506" s="92"/>
      <c r="D506" s="92"/>
      <c r="E506" s="92"/>
      <c r="F506" s="92"/>
      <c r="G506" s="93" t="n">
        <f aca="false">G502+G505</f>
        <v>480320</v>
      </c>
      <c r="H506" s="24"/>
      <c r="I506" s="24"/>
      <c r="J506" s="24"/>
      <c r="K506" s="24"/>
      <c r="L506" s="24"/>
    </row>
    <row r="507" customFormat="false" ht="15" hidden="false" customHeight="true" outlineLevel="0" collapsed="false">
      <c r="A507" s="37" t="s">
        <v>547</v>
      </c>
      <c r="B507" s="20" t="s">
        <v>548</v>
      </c>
      <c r="C507" s="24"/>
      <c r="D507" s="24"/>
      <c r="E507" s="94" t="n">
        <f aca="false">Parameter!$B$4</f>
        <v>0.15</v>
      </c>
      <c r="F507" s="24"/>
      <c r="G507" s="21" t="n">
        <f aca="false">G506*E507</f>
        <v>72048</v>
      </c>
      <c r="H507" s="24"/>
      <c r="I507" s="24"/>
      <c r="J507" s="24"/>
      <c r="K507" s="24"/>
      <c r="L507" s="24"/>
    </row>
    <row r="508" customFormat="false" ht="15" hidden="false" customHeight="true" outlineLevel="0" collapsed="false">
      <c r="A508" s="95" t="s">
        <v>549</v>
      </c>
      <c r="B508" s="96" t="s">
        <v>550</v>
      </c>
      <c r="C508" s="97"/>
      <c r="D508" s="97"/>
      <c r="E508" s="97"/>
      <c r="F508" s="97"/>
      <c r="G508" s="98" t="n">
        <f aca="false">G506+G507</f>
        <v>552368</v>
      </c>
      <c r="H508" s="24"/>
      <c r="I508" s="24"/>
      <c r="J508" s="24"/>
      <c r="K508" s="24"/>
      <c r="L508" s="24"/>
    </row>
    <row r="510" customFormat="false" ht="23.25" hidden="false" customHeight="true" outlineLevel="0" collapsed="false">
      <c r="A510" s="35" t="s">
        <v>177</v>
      </c>
      <c r="B510" s="35" t="s">
        <v>588</v>
      </c>
      <c r="C510" s="35"/>
      <c r="D510" s="35"/>
      <c r="E510" s="35"/>
      <c r="F510" s="35"/>
      <c r="G510" s="35"/>
      <c r="H510" s="35"/>
      <c r="I510" s="35"/>
      <c r="J510" s="81" t="s">
        <v>537</v>
      </c>
      <c r="K510" s="82" t="n">
        <v>1</v>
      </c>
      <c r="L510" s="35"/>
    </row>
    <row r="511" customFormat="false" ht="15" hidden="false" customHeight="true" outlineLevel="0" collapsed="false">
      <c r="A511" s="83" t="s">
        <v>538</v>
      </c>
      <c r="B511" s="25" t="s">
        <v>539</v>
      </c>
      <c r="C511" s="24"/>
      <c r="D511" s="24"/>
      <c r="E511" s="24"/>
      <c r="F511" s="24"/>
      <c r="G511" s="24"/>
      <c r="H511" s="24"/>
      <c r="I511" s="24"/>
      <c r="J511" s="24"/>
      <c r="K511" s="24"/>
      <c r="L511" s="24"/>
    </row>
    <row r="512" customFormat="false" ht="15" hidden="false" customHeight="true" outlineLevel="0" collapsed="false">
      <c r="A512" s="24"/>
      <c r="B512" s="20" t="s">
        <v>500</v>
      </c>
      <c r="C512" s="37" t="s">
        <v>501</v>
      </c>
      <c r="D512" s="37" t="s">
        <v>540</v>
      </c>
      <c r="E512" s="84" t="n">
        <v>0.5</v>
      </c>
      <c r="F512" s="21" t="n">
        <f aca="false">INDEX('Perhitungan Upah'!$C$5:$C$13,MATCH(C512,'Perhitungan Upah'!$B$5:$B$13,0))</f>
        <v>184400</v>
      </c>
      <c r="G512" s="21" t="n">
        <f aca="false">E512*F512</f>
        <v>92200</v>
      </c>
      <c r="H512" s="85" t="s">
        <v>177</v>
      </c>
      <c r="I512" s="85" t="s">
        <v>169</v>
      </c>
      <c r="J512" s="85" t="s">
        <v>541</v>
      </c>
      <c r="K512" s="86" t="n">
        <f aca="false">$K$510</f>
        <v>1</v>
      </c>
      <c r="L512" s="86" t="n">
        <f aca="false">E512*K512</f>
        <v>0.5</v>
      </c>
    </row>
    <row r="513" customFormat="false" ht="15" hidden="false" customHeight="true" outlineLevel="0" collapsed="false">
      <c r="A513" s="87"/>
      <c r="B513" s="88" t="s">
        <v>542</v>
      </c>
      <c r="C513" s="87"/>
      <c r="D513" s="87"/>
      <c r="E513" s="87"/>
      <c r="F513" s="87"/>
      <c r="G513" s="89" t="n">
        <f aca="false">SUM(G512:G512)</f>
        <v>92200</v>
      </c>
      <c r="H513" s="24"/>
      <c r="I513" s="24"/>
      <c r="J513" s="24"/>
      <c r="K513" s="24"/>
      <c r="L513" s="24"/>
    </row>
    <row r="514" customFormat="false" ht="15" hidden="false" customHeight="true" outlineLevel="0" collapsed="false">
      <c r="A514" s="83" t="s">
        <v>543</v>
      </c>
      <c r="B514" s="25" t="s">
        <v>544</v>
      </c>
      <c r="C514" s="24"/>
      <c r="D514" s="24"/>
      <c r="E514" s="24"/>
      <c r="F514" s="24"/>
      <c r="G514" s="24"/>
      <c r="H514" s="24"/>
      <c r="I514" s="24"/>
      <c r="J514" s="24"/>
      <c r="K514" s="24"/>
      <c r="L514" s="24"/>
    </row>
    <row r="515" customFormat="false" ht="15" hidden="false" customHeight="true" outlineLevel="0" collapsed="false">
      <c r="A515" s="24"/>
      <c r="B515" s="20" t="s">
        <v>178</v>
      </c>
      <c r="C515" s="37" t="s">
        <v>443</v>
      </c>
      <c r="D515" s="37" t="s">
        <v>154</v>
      </c>
      <c r="E515" s="84" t="n">
        <v>1</v>
      </c>
      <c r="F515" s="21" t="n">
        <f aca="false">VLOOKUP(C515,'Perhitungan Bahan'!$A$5:$J$61,10,FALSE())</f>
        <v>800000</v>
      </c>
      <c r="G515" s="21" t="n">
        <f aca="false">E515*F515</f>
        <v>800000</v>
      </c>
      <c r="H515" s="85" t="s">
        <v>177</v>
      </c>
      <c r="I515" s="85" t="s">
        <v>169</v>
      </c>
      <c r="J515" s="85" t="s">
        <v>282</v>
      </c>
      <c r="K515" s="86" t="n">
        <f aca="false">$K$510</f>
        <v>1</v>
      </c>
      <c r="L515" s="86" t="n">
        <f aca="false">E515*K515</f>
        <v>1</v>
      </c>
    </row>
    <row r="516" customFormat="false" ht="15" hidden="false" customHeight="true" outlineLevel="0" collapsed="false">
      <c r="A516" s="87"/>
      <c r="B516" s="88" t="s">
        <v>71</v>
      </c>
      <c r="C516" s="87"/>
      <c r="D516" s="87"/>
      <c r="E516" s="87"/>
      <c r="F516" s="87"/>
      <c r="G516" s="89" t="n">
        <f aca="false">SUM(G515:G515)</f>
        <v>800000</v>
      </c>
      <c r="H516" s="24"/>
      <c r="I516" s="24"/>
      <c r="J516" s="24"/>
      <c r="K516" s="24"/>
      <c r="L516" s="24"/>
    </row>
    <row r="517" customFormat="false" ht="15" hidden="false" customHeight="true" outlineLevel="0" collapsed="false">
      <c r="A517" s="90" t="s">
        <v>545</v>
      </c>
      <c r="B517" s="91" t="s">
        <v>546</v>
      </c>
      <c r="C517" s="92"/>
      <c r="D517" s="92"/>
      <c r="E517" s="92"/>
      <c r="F517" s="92"/>
      <c r="G517" s="93" t="n">
        <f aca="false">G513+G516</f>
        <v>892200</v>
      </c>
      <c r="H517" s="24"/>
      <c r="I517" s="24"/>
      <c r="J517" s="24"/>
      <c r="K517" s="24"/>
      <c r="L517" s="24"/>
    </row>
    <row r="518" customFormat="false" ht="15" hidden="false" customHeight="true" outlineLevel="0" collapsed="false">
      <c r="A518" s="37" t="s">
        <v>547</v>
      </c>
      <c r="B518" s="20" t="s">
        <v>548</v>
      </c>
      <c r="C518" s="24"/>
      <c r="D518" s="24"/>
      <c r="E518" s="94" t="n">
        <f aca="false">Parameter!$B$4</f>
        <v>0.15</v>
      </c>
      <c r="F518" s="24"/>
      <c r="G518" s="21" t="n">
        <f aca="false">G517*E518</f>
        <v>133830</v>
      </c>
      <c r="H518" s="24"/>
      <c r="I518" s="24"/>
      <c r="J518" s="24"/>
      <c r="K518" s="24"/>
      <c r="L518" s="24"/>
    </row>
    <row r="519" customFormat="false" ht="15" hidden="false" customHeight="true" outlineLevel="0" collapsed="false">
      <c r="A519" s="95" t="s">
        <v>549</v>
      </c>
      <c r="B519" s="96" t="s">
        <v>550</v>
      </c>
      <c r="C519" s="97"/>
      <c r="D519" s="97"/>
      <c r="E519" s="97"/>
      <c r="F519" s="97"/>
      <c r="G519" s="98" t="n">
        <f aca="false">G517+G518</f>
        <v>1026030</v>
      </c>
      <c r="H519" s="24"/>
      <c r="I519" s="24"/>
      <c r="J519" s="24"/>
      <c r="K519" s="24"/>
      <c r="L519" s="24"/>
    </row>
    <row r="521" customFormat="false" ht="23.25" hidden="false" customHeight="true" outlineLevel="0" collapsed="false">
      <c r="A521" s="35" t="s">
        <v>179</v>
      </c>
      <c r="B521" s="35" t="s">
        <v>589</v>
      </c>
      <c r="C521" s="35"/>
      <c r="D521" s="35"/>
      <c r="E521" s="35"/>
      <c r="F521" s="35"/>
      <c r="G521" s="35"/>
      <c r="H521" s="35"/>
      <c r="I521" s="35"/>
      <c r="J521" s="81" t="s">
        <v>537</v>
      </c>
      <c r="K521" s="82" t="n">
        <v>2</v>
      </c>
      <c r="L521" s="35"/>
    </row>
    <row r="522" customFormat="false" ht="15" hidden="false" customHeight="true" outlineLevel="0" collapsed="false">
      <c r="A522" s="83" t="s">
        <v>538</v>
      </c>
      <c r="B522" s="25" t="s">
        <v>539</v>
      </c>
      <c r="C522" s="24"/>
      <c r="D522" s="24"/>
      <c r="E522" s="24"/>
      <c r="F522" s="24"/>
      <c r="G522" s="24"/>
      <c r="H522" s="24"/>
      <c r="I522" s="24"/>
      <c r="J522" s="24"/>
      <c r="K522" s="24"/>
      <c r="L522" s="24"/>
    </row>
    <row r="523" customFormat="false" ht="15" hidden="false" customHeight="true" outlineLevel="0" collapsed="false">
      <c r="A523" s="24"/>
      <c r="B523" s="20" t="s">
        <v>500</v>
      </c>
      <c r="C523" s="37" t="s">
        <v>501</v>
      </c>
      <c r="D523" s="37" t="s">
        <v>540</v>
      </c>
      <c r="E523" s="84" t="n">
        <v>0.2</v>
      </c>
      <c r="F523" s="21" t="n">
        <f aca="false">INDEX('Perhitungan Upah'!$C$5:$C$13,MATCH(C523,'Perhitungan Upah'!$B$5:$B$13,0))</f>
        <v>184400</v>
      </c>
      <c r="G523" s="21" t="n">
        <f aca="false">E523*F523</f>
        <v>36880</v>
      </c>
      <c r="H523" s="85" t="s">
        <v>179</v>
      </c>
      <c r="I523" s="85" t="s">
        <v>169</v>
      </c>
      <c r="J523" s="85" t="s">
        <v>541</v>
      </c>
      <c r="K523" s="86" t="n">
        <f aca="false">$K$521</f>
        <v>2</v>
      </c>
      <c r="L523" s="86" t="n">
        <f aca="false">E523*K523</f>
        <v>0.4</v>
      </c>
    </row>
    <row r="524" customFormat="false" ht="15" hidden="false" customHeight="true" outlineLevel="0" collapsed="false">
      <c r="A524" s="87"/>
      <c r="B524" s="88" t="s">
        <v>542</v>
      </c>
      <c r="C524" s="87"/>
      <c r="D524" s="87"/>
      <c r="E524" s="87"/>
      <c r="F524" s="87"/>
      <c r="G524" s="89" t="n">
        <f aca="false">SUM(G523:G523)</f>
        <v>36880</v>
      </c>
      <c r="H524" s="24"/>
      <c r="I524" s="24"/>
      <c r="J524" s="24"/>
      <c r="K524" s="24"/>
      <c r="L524" s="24"/>
    </row>
    <row r="525" customFormat="false" ht="15" hidden="false" customHeight="true" outlineLevel="0" collapsed="false">
      <c r="A525" s="83" t="s">
        <v>543</v>
      </c>
      <c r="B525" s="25" t="s">
        <v>544</v>
      </c>
      <c r="C525" s="24"/>
      <c r="D525" s="24"/>
      <c r="E525" s="24"/>
      <c r="F525" s="24"/>
      <c r="G525" s="24"/>
      <c r="H525" s="24"/>
      <c r="I525" s="24"/>
      <c r="J525" s="24"/>
      <c r="K525" s="24"/>
      <c r="L525" s="24"/>
    </row>
    <row r="526" customFormat="false" ht="15" hidden="false" customHeight="true" outlineLevel="0" collapsed="false">
      <c r="A526" s="24"/>
      <c r="B526" s="20" t="s">
        <v>180</v>
      </c>
      <c r="C526" s="37" t="s">
        <v>444</v>
      </c>
      <c r="D526" s="37" t="s">
        <v>181</v>
      </c>
      <c r="E526" s="84" t="n">
        <v>1</v>
      </c>
      <c r="F526" s="21" t="n">
        <f aca="false">VLOOKUP(C526,'Perhitungan Bahan'!$A$5:$J$61,10,FALSE())</f>
        <v>80000</v>
      </c>
      <c r="G526" s="21" t="n">
        <f aca="false">E526*F526</f>
        <v>80000</v>
      </c>
      <c r="H526" s="85" t="s">
        <v>179</v>
      </c>
      <c r="I526" s="85" t="s">
        <v>169</v>
      </c>
      <c r="J526" s="85" t="s">
        <v>282</v>
      </c>
      <c r="K526" s="86" t="n">
        <f aca="false">$K$521</f>
        <v>2</v>
      </c>
      <c r="L526" s="86" t="n">
        <f aca="false">E526*K526</f>
        <v>2</v>
      </c>
    </row>
    <row r="527" customFormat="false" ht="15" hidden="false" customHeight="true" outlineLevel="0" collapsed="false">
      <c r="A527" s="87"/>
      <c r="B527" s="88" t="s">
        <v>71</v>
      </c>
      <c r="C527" s="87"/>
      <c r="D527" s="87"/>
      <c r="E527" s="87"/>
      <c r="F527" s="87"/>
      <c r="G527" s="89" t="n">
        <f aca="false">SUM(G526:G526)</f>
        <v>80000</v>
      </c>
      <c r="H527" s="24"/>
      <c r="I527" s="24"/>
      <c r="J527" s="24"/>
      <c r="K527" s="24"/>
      <c r="L527" s="24"/>
    </row>
    <row r="528" customFormat="false" ht="15" hidden="false" customHeight="true" outlineLevel="0" collapsed="false">
      <c r="A528" s="90" t="s">
        <v>545</v>
      </c>
      <c r="B528" s="91" t="s">
        <v>546</v>
      </c>
      <c r="C528" s="92"/>
      <c r="D528" s="92"/>
      <c r="E528" s="92"/>
      <c r="F528" s="92"/>
      <c r="G528" s="93" t="n">
        <f aca="false">G524+G527</f>
        <v>116880</v>
      </c>
      <c r="H528" s="24"/>
      <c r="I528" s="24"/>
      <c r="J528" s="24"/>
      <c r="K528" s="24"/>
      <c r="L528" s="24"/>
    </row>
    <row r="529" customFormat="false" ht="15" hidden="false" customHeight="true" outlineLevel="0" collapsed="false">
      <c r="A529" s="37" t="s">
        <v>547</v>
      </c>
      <c r="B529" s="20" t="s">
        <v>548</v>
      </c>
      <c r="C529" s="24"/>
      <c r="D529" s="24"/>
      <c r="E529" s="94" t="n">
        <f aca="false">Parameter!$B$4</f>
        <v>0.15</v>
      </c>
      <c r="F529" s="24"/>
      <c r="G529" s="21" t="n">
        <f aca="false">G528*E529</f>
        <v>17532</v>
      </c>
      <c r="H529" s="24"/>
      <c r="I529" s="24"/>
      <c r="J529" s="24"/>
      <c r="K529" s="24"/>
      <c r="L529" s="24"/>
    </row>
    <row r="530" customFormat="false" ht="15" hidden="false" customHeight="true" outlineLevel="0" collapsed="false">
      <c r="A530" s="95" t="s">
        <v>549</v>
      </c>
      <c r="B530" s="96" t="s">
        <v>550</v>
      </c>
      <c r="C530" s="97"/>
      <c r="D530" s="97"/>
      <c r="E530" s="97"/>
      <c r="F530" s="97"/>
      <c r="G530" s="98" t="n">
        <f aca="false">G528+G529</f>
        <v>134412</v>
      </c>
      <c r="H530" s="24"/>
      <c r="I530" s="24"/>
      <c r="J530" s="24"/>
      <c r="K530" s="24"/>
      <c r="L530" s="24"/>
    </row>
    <row r="532" customFormat="false" ht="23.25" hidden="false" customHeight="true" outlineLevel="0" collapsed="false">
      <c r="A532" s="35" t="s">
        <v>182</v>
      </c>
      <c r="B532" s="35" t="s">
        <v>590</v>
      </c>
      <c r="C532" s="35"/>
      <c r="D532" s="35"/>
      <c r="E532" s="35"/>
      <c r="F532" s="35"/>
      <c r="G532" s="35"/>
      <c r="H532" s="35"/>
      <c r="I532" s="35"/>
      <c r="J532" s="81" t="s">
        <v>537</v>
      </c>
      <c r="K532" s="82" t="n">
        <v>4</v>
      </c>
      <c r="L532" s="35"/>
    </row>
    <row r="533" customFormat="false" ht="15" hidden="false" customHeight="true" outlineLevel="0" collapsed="false">
      <c r="A533" s="83" t="s">
        <v>538</v>
      </c>
      <c r="B533" s="25" t="s">
        <v>539</v>
      </c>
      <c r="C533" s="24"/>
      <c r="D533" s="24"/>
      <c r="E533" s="24"/>
      <c r="F533" s="24"/>
      <c r="G533" s="24"/>
      <c r="H533" s="24"/>
      <c r="I533" s="24"/>
      <c r="J533" s="24"/>
      <c r="K533" s="24"/>
      <c r="L533" s="24"/>
    </row>
    <row r="534" customFormat="false" ht="15" hidden="false" customHeight="true" outlineLevel="0" collapsed="false">
      <c r="A534" s="24"/>
      <c r="B534" s="20" t="s">
        <v>500</v>
      </c>
      <c r="C534" s="37" t="s">
        <v>501</v>
      </c>
      <c r="D534" s="37" t="s">
        <v>540</v>
      </c>
      <c r="E534" s="84" t="n">
        <v>0.3</v>
      </c>
      <c r="F534" s="21" t="n">
        <f aca="false">INDEX('Perhitungan Upah'!$C$5:$C$13,MATCH(C534,'Perhitungan Upah'!$B$5:$B$13,0))</f>
        <v>184400</v>
      </c>
      <c r="G534" s="21" t="n">
        <f aca="false">E534*F534</f>
        <v>55320</v>
      </c>
      <c r="H534" s="85" t="s">
        <v>182</v>
      </c>
      <c r="I534" s="85" t="s">
        <v>169</v>
      </c>
      <c r="J534" s="85" t="s">
        <v>541</v>
      </c>
      <c r="K534" s="86" t="n">
        <f aca="false">$K$532</f>
        <v>4</v>
      </c>
      <c r="L534" s="86" t="n">
        <f aca="false">E534*K534</f>
        <v>1.2</v>
      </c>
    </row>
    <row r="535" customFormat="false" ht="15" hidden="false" customHeight="true" outlineLevel="0" collapsed="false">
      <c r="A535" s="87"/>
      <c r="B535" s="88" t="s">
        <v>542</v>
      </c>
      <c r="C535" s="87"/>
      <c r="D535" s="87"/>
      <c r="E535" s="87"/>
      <c r="F535" s="87"/>
      <c r="G535" s="89" t="n">
        <f aca="false">SUM(G534:G534)</f>
        <v>55320</v>
      </c>
      <c r="H535" s="24"/>
      <c r="I535" s="24"/>
      <c r="J535" s="24"/>
      <c r="K535" s="24"/>
      <c r="L535" s="24"/>
    </row>
    <row r="536" customFormat="false" ht="15" hidden="false" customHeight="true" outlineLevel="0" collapsed="false">
      <c r="A536" s="83" t="s">
        <v>543</v>
      </c>
      <c r="B536" s="25" t="s">
        <v>544</v>
      </c>
      <c r="C536" s="24"/>
      <c r="D536" s="24"/>
      <c r="E536" s="24"/>
      <c r="F536" s="24"/>
      <c r="G536" s="24"/>
      <c r="H536" s="24"/>
      <c r="I536" s="24"/>
      <c r="J536" s="24"/>
      <c r="K536" s="24"/>
      <c r="L536" s="24"/>
    </row>
    <row r="537" customFormat="false" ht="15" hidden="false" customHeight="true" outlineLevel="0" collapsed="false">
      <c r="A537" s="24"/>
      <c r="B537" s="20" t="s">
        <v>183</v>
      </c>
      <c r="C537" s="37" t="s">
        <v>445</v>
      </c>
      <c r="D537" s="37" t="s">
        <v>181</v>
      </c>
      <c r="E537" s="84" t="n">
        <v>1</v>
      </c>
      <c r="F537" s="21" t="n">
        <f aca="false">VLOOKUP(C537,'Perhitungan Bahan'!$A$5:$J$61,10,FALSE())</f>
        <v>110000</v>
      </c>
      <c r="G537" s="21" t="n">
        <f aca="false">E537*F537</f>
        <v>110000</v>
      </c>
      <c r="H537" s="85" t="s">
        <v>182</v>
      </c>
      <c r="I537" s="85" t="s">
        <v>169</v>
      </c>
      <c r="J537" s="85" t="s">
        <v>282</v>
      </c>
      <c r="K537" s="86" t="n">
        <f aca="false">$K$532</f>
        <v>4</v>
      </c>
      <c r="L537" s="86" t="n">
        <f aca="false">E537*K537</f>
        <v>4</v>
      </c>
    </row>
    <row r="538" customFormat="false" ht="15" hidden="false" customHeight="true" outlineLevel="0" collapsed="false">
      <c r="A538" s="87"/>
      <c r="B538" s="88" t="s">
        <v>71</v>
      </c>
      <c r="C538" s="87"/>
      <c r="D538" s="87"/>
      <c r="E538" s="87"/>
      <c r="F538" s="87"/>
      <c r="G538" s="89" t="n">
        <f aca="false">SUM(G537:G537)</f>
        <v>110000</v>
      </c>
      <c r="H538" s="24"/>
      <c r="I538" s="24"/>
      <c r="J538" s="24"/>
      <c r="K538" s="24"/>
      <c r="L538" s="24"/>
    </row>
    <row r="539" customFormat="false" ht="15" hidden="false" customHeight="true" outlineLevel="0" collapsed="false">
      <c r="A539" s="90" t="s">
        <v>545</v>
      </c>
      <c r="B539" s="91" t="s">
        <v>546</v>
      </c>
      <c r="C539" s="92"/>
      <c r="D539" s="92"/>
      <c r="E539" s="92"/>
      <c r="F539" s="92"/>
      <c r="G539" s="93" t="n">
        <f aca="false">G535+G538</f>
        <v>165320</v>
      </c>
      <c r="H539" s="24"/>
      <c r="I539" s="24"/>
      <c r="J539" s="24"/>
      <c r="K539" s="24"/>
      <c r="L539" s="24"/>
    </row>
    <row r="540" customFormat="false" ht="15" hidden="false" customHeight="true" outlineLevel="0" collapsed="false">
      <c r="A540" s="37" t="s">
        <v>547</v>
      </c>
      <c r="B540" s="20" t="s">
        <v>548</v>
      </c>
      <c r="C540" s="24"/>
      <c r="D540" s="24"/>
      <c r="E540" s="94" t="n">
        <f aca="false">Parameter!$B$4</f>
        <v>0.15</v>
      </c>
      <c r="F540" s="24"/>
      <c r="G540" s="21" t="n">
        <f aca="false">G539*E540</f>
        <v>24798</v>
      </c>
      <c r="H540" s="24"/>
      <c r="I540" s="24"/>
      <c r="J540" s="24"/>
      <c r="K540" s="24"/>
      <c r="L540" s="24"/>
    </row>
    <row r="541" customFormat="false" ht="15" hidden="false" customHeight="true" outlineLevel="0" collapsed="false">
      <c r="A541" s="95" t="s">
        <v>549</v>
      </c>
      <c r="B541" s="96" t="s">
        <v>550</v>
      </c>
      <c r="C541" s="97"/>
      <c r="D541" s="97"/>
      <c r="E541" s="97"/>
      <c r="F541" s="97"/>
      <c r="G541" s="98" t="n">
        <f aca="false">G539+G540</f>
        <v>190118</v>
      </c>
      <c r="H541" s="24"/>
      <c r="I541" s="24"/>
      <c r="J541" s="24"/>
      <c r="K541" s="24"/>
      <c r="L541" s="24"/>
    </row>
    <row r="543" customFormat="false" ht="23.25" hidden="false" customHeight="true" outlineLevel="0" collapsed="false">
      <c r="A543" s="35" t="s">
        <v>184</v>
      </c>
      <c r="B543" s="35" t="s">
        <v>591</v>
      </c>
      <c r="C543" s="35"/>
      <c r="D543" s="35"/>
      <c r="E543" s="35"/>
      <c r="F543" s="35"/>
      <c r="G543" s="35"/>
      <c r="H543" s="35"/>
      <c r="I543" s="35"/>
      <c r="J543" s="81" t="s">
        <v>537</v>
      </c>
      <c r="K543" s="82" t="n">
        <v>25</v>
      </c>
      <c r="L543" s="35"/>
    </row>
    <row r="544" customFormat="false" ht="15" hidden="false" customHeight="true" outlineLevel="0" collapsed="false">
      <c r="A544" s="83" t="s">
        <v>538</v>
      </c>
      <c r="B544" s="25" t="s">
        <v>539</v>
      </c>
      <c r="C544" s="24"/>
      <c r="D544" s="24"/>
      <c r="E544" s="24"/>
      <c r="F544" s="24"/>
      <c r="G544" s="24"/>
      <c r="H544" s="24"/>
      <c r="I544" s="24"/>
      <c r="J544" s="24"/>
      <c r="K544" s="24"/>
      <c r="L544" s="24"/>
    </row>
    <row r="545" customFormat="false" ht="15" hidden="false" customHeight="true" outlineLevel="0" collapsed="false">
      <c r="A545" s="24"/>
      <c r="B545" s="20" t="s">
        <v>487</v>
      </c>
      <c r="C545" s="37" t="s">
        <v>488</v>
      </c>
      <c r="D545" s="37" t="s">
        <v>540</v>
      </c>
      <c r="E545" s="84" t="n">
        <v>0.036</v>
      </c>
      <c r="F545" s="21" t="n">
        <f aca="false">INDEX('Perhitungan Upah'!$C$5:$C$13,MATCH(C545,'Perhitungan Upah'!$B$5:$B$13,0))</f>
        <v>130500</v>
      </c>
      <c r="G545" s="21" t="n">
        <f aca="false">E545*F545</f>
        <v>4698</v>
      </c>
      <c r="H545" s="85" t="s">
        <v>184</v>
      </c>
      <c r="I545" s="85" t="s">
        <v>169</v>
      </c>
      <c r="J545" s="85" t="s">
        <v>541</v>
      </c>
      <c r="K545" s="86" t="n">
        <f aca="false">$K$543</f>
        <v>25</v>
      </c>
      <c r="L545" s="86" t="n">
        <f aca="false">E545*K545</f>
        <v>0.9</v>
      </c>
    </row>
    <row r="546" customFormat="false" ht="15" hidden="false" customHeight="true" outlineLevel="0" collapsed="false">
      <c r="A546" s="24"/>
      <c r="B546" s="20" t="s">
        <v>500</v>
      </c>
      <c r="C546" s="37" t="s">
        <v>501</v>
      </c>
      <c r="D546" s="37" t="s">
        <v>540</v>
      </c>
      <c r="E546" s="84" t="n">
        <v>0.06</v>
      </c>
      <c r="F546" s="21" t="n">
        <f aca="false">INDEX('Perhitungan Upah'!$C$5:$C$13,MATCH(C546,'Perhitungan Upah'!$B$5:$B$13,0))</f>
        <v>184400</v>
      </c>
      <c r="G546" s="21" t="n">
        <f aca="false">E546*F546</f>
        <v>11064</v>
      </c>
      <c r="H546" s="85" t="s">
        <v>184</v>
      </c>
      <c r="I546" s="85" t="s">
        <v>169</v>
      </c>
      <c r="J546" s="85" t="s">
        <v>541</v>
      </c>
      <c r="K546" s="86" t="n">
        <f aca="false">$K$543</f>
        <v>25</v>
      </c>
      <c r="L546" s="86" t="n">
        <f aca="false">E546*K546</f>
        <v>1.5</v>
      </c>
    </row>
    <row r="547" customFormat="false" ht="15" hidden="false" customHeight="true" outlineLevel="0" collapsed="false">
      <c r="A547" s="24"/>
      <c r="B547" s="20" t="s">
        <v>502</v>
      </c>
      <c r="C547" s="37" t="s">
        <v>503</v>
      </c>
      <c r="D547" s="37" t="s">
        <v>540</v>
      </c>
      <c r="E547" s="84" t="n">
        <v>0.006</v>
      </c>
      <c r="F547" s="21" t="n">
        <f aca="false">INDEX('Perhitungan Upah'!$C$5:$C$13,MATCH(C547,'Perhitungan Upah'!$B$5:$B$13,0))</f>
        <v>198900</v>
      </c>
      <c r="G547" s="21" t="n">
        <f aca="false">E547*F547</f>
        <v>1193.4</v>
      </c>
      <c r="H547" s="85" t="s">
        <v>184</v>
      </c>
      <c r="I547" s="85" t="s">
        <v>169</v>
      </c>
      <c r="J547" s="85" t="s">
        <v>541</v>
      </c>
      <c r="K547" s="86" t="n">
        <f aca="false">$K$543</f>
        <v>25</v>
      </c>
      <c r="L547" s="86" t="n">
        <f aca="false">E547*K547</f>
        <v>0.15</v>
      </c>
    </row>
    <row r="548" customFormat="false" ht="15" hidden="false" customHeight="true" outlineLevel="0" collapsed="false">
      <c r="A548" s="24"/>
      <c r="B548" s="20" t="s">
        <v>504</v>
      </c>
      <c r="C548" s="37" t="s">
        <v>505</v>
      </c>
      <c r="D548" s="37" t="s">
        <v>540</v>
      </c>
      <c r="E548" s="84" t="n">
        <v>0.0018</v>
      </c>
      <c r="F548" s="21" t="n">
        <f aca="false">INDEX('Perhitungan Upah'!$C$5:$C$13,MATCH(C548,'Perhitungan Upah'!$B$5:$B$13,0))</f>
        <v>228300</v>
      </c>
      <c r="G548" s="21" t="n">
        <f aca="false">E548*F548</f>
        <v>410.94</v>
      </c>
      <c r="H548" s="85" t="s">
        <v>184</v>
      </c>
      <c r="I548" s="85" t="s">
        <v>169</v>
      </c>
      <c r="J548" s="85" t="s">
        <v>541</v>
      </c>
      <c r="K548" s="86" t="n">
        <f aca="false">$K$543</f>
        <v>25</v>
      </c>
      <c r="L548" s="86" t="n">
        <f aca="false">E548*K548</f>
        <v>0.045</v>
      </c>
    </row>
    <row r="549" customFormat="false" ht="15" hidden="false" customHeight="true" outlineLevel="0" collapsed="false">
      <c r="A549" s="87"/>
      <c r="B549" s="88" t="s">
        <v>542</v>
      </c>
      <c r="C549" s="87"/>
      <c r="D549" s="87"/>
      <c r="E549" s="87"/>
      <c r="F549" s="87"/>
      <c r="G549" s="89" t="n">
        <f aca="false">SUM(G545:G548)</f>
        <v>17366.34</v>
      </c>
      <c r="H549" s="24"/>
      <c r="I549" s="24"/>
      <c r="J549" s="24"/>
      <c r="K549" s="24"/>
      <c r="L549" s="24"/>
    </row>
    <row r="550" customFormat="false" ht="15" hidden="false" customHeight="true" outlineLevel="0" collapsed="false">
      <c r="A550" s="83" t="s">
        <v>543</v>
      </c>
      <c r="B550" s="25" t="s">
        <v>544</v>
      </c>
      <c r="C550" s="24"/>
      <c r="D550" s="24"/>
      <c r="E550" s="24"/>
      <c r="F550" s="24"/>
      <c r="G550" s="24"/>
      <c r="H550" s="24"/>
      <c r="I550" s="24"/>
      <c r="J550" s="24"/>
      <c r="K550" s="24"/>
      <c r="L550" s="24"/>
    </row>
    <row r="551" customFormat="false" ht="15" hidden="false" customHeight="true" outlineLevel="0" collapsed="false">
      <c r="A551" s="24"/>
      <c r="B551" s="20" t="s">
        <v>399</v>
      </c>
      <c r="C551" s="37" t="s">
        <v>398</v>
      </c>
      <c r="D551" s="37" t="s">
        <v>400</v>
      </c>
      <c r="E551" s="84" t="n">
        <v>1.1</v>
      </c>
      <c r="F551" s="21" t="n">
        <f aca="false">VLOOKUP(C551,'Perhitungan Bahan'!$A$5:$J$61,10,FALSE())</f>
        <v>9500</v>
      </c>
      <c r="G551" s="21" t="n">
        <f aca="false">E551*F551</f>
        <v>10450</v>
      </c>
      <c r="H551" s="85" t="s">
        <v>184</v>
      </c>
      <c r="I551" s="85" t="s">
        <v>169</v>
      </c>
      <c r="J551" s="85" t="s">
        <v>282</v>
      </c>
      <c r="K551" s="86" t="n">
        <f aca="false">$K$543</f>
        <v>25</v>
      </c>
      <c r="L551" s="86" t="n">
        <f aca="false">E551*K551</f>
        <v>27.5</v>
      </c>
    </row>
    <row r="552" customFormat="false" ht="15" hidden="false" customHeight="true" outlineLevel="0" collapsed="false">
      <c r="A552" s="24"/>
      <c r="B552" s="20" t="s">
        <v>406</v>
      </c>
      <c r="C552" s="37" t="s">
        <v>405</v>
      </c>
      <c r="D552" s="37" t="s">
        <v>400</v>
      </c>
      <c r="E552" s="84" t="n">
        <v>1</v>
      </c>
      <c r="F552" s="21" t="n">
        <f aca="false">VLOOKUP(C552,'Perhitungan Bahan'!$A$5:$J$61,10,FALSE())</f>
        <v>7500</v>
      </c>
      <c r="G552" s="21" t="n">
        <f aca="false">E552*F552</f>
        <v>7500</v>
      </c>
      <c r="H552" s="85" t="s">
        <v>184</v>
      </c>
      <c r="I552" s="85" t="s">
        <v>169</v>
      </c>
      <c r="J552" s="85" t="s">
        <v>282</v>
      </c>
      <c r="K552" s="86" t="n">
        <f aca="false">$K$543</f>
        <v>25</v>
      </c>
      <c r="L552" s="86" t="n">
        <f aca="false">E552*K552</f>
        <v>25</v>
      </c>
    </row>
    <row r="553" customFormat="false" ht="15" hidden="false" customHeight="true" outlineLevel="0" collapsed="false">
      <c r="A553" s="87"/>
      <c r="B553" s="88" t="s">
        <v>71</v>
      </c>
      <c r="C553" s="87"/>
      <c r="D553" s="87"/>
      <c r="E553" s="87"/>
      <c r="F553" s="87"/>
      <c r="G553" s="89" t="n">
        <f aca="false">SUM(G551:G552)</f>
        <v>17950</v>
      </c>
      <c r="H553" s="24"/>
      <c r="I553" s="24"/>
      <c r="J553" s="24"/>
      <c r="K553" s="24"/>
      <c r="L553" s="24"/>
    </row>
    <row r="554" customFormat="false" ht="15" hidden="false" customHeight="true" outlineLevel="0" collapsed="false">
      <c r="A554" s="90" t="s">
        <v>545</v>
      </c>
      <c r="B554" s="91" t="s">
        <v>546</v>
      </c>
      <c r="C554" s="92"/>
      <c r="D554" s="92"/>
      <c r="E554" s="92"/>
      <c r="F554" s="92"/>
      <c r="G554" s="93" t="n">
        <f aca="false">G549+G553</f>
        <v>35316.34</v>
      </c>
      <c r="H554" s="24"/>
      <c r="I554" s="24"/>
      <c r="J554" s="24"/>
      <c r="K554" s="24"/>
      <c r="L554" s="24"/>
    </row>
    <row r="555" customFormat="false" ht="15" hidden="false" customHeight="true" outlineLevel="0" collapsed="false">
      <c r="A555" s="37" t="s">
        <v>547</v>
      </c>
      <c r="B555" s="20" t="s">
        <v>548</v>
      </c>
      <c r="C555" s="24"/>
      <c r="D555" s="24"/>
      <c r="E555" s="94" t="n">
        <f aca="false">Parameter!$B$4</f>
        <v>0.15</v>
      </c>
      <c r="F555" s="24"/>
      <c r="G555" s="21" t="n">
        <f aca="false">G554*E555</f>
        <v>5297.451</v>
      </c>
      <c r="H555" s="24"/>
      <c r="I555" s="24"/>
      <c r="J555" s="24"/>
      <c r="K555" s="24"/>
      <c r="L555" s="24"/>
    </row>
    <row r="556" customFormat="false" ht="15" hidden="false" customHeight="true" outlineLevel="0" collapsed="false">
      <c r="A556" s="95" t="s">
        <v>549</v>
      </c>
      <c r="B556" s="96" t="s">
        <v>550</v>
      </c>
      <c r="C556" s="97"/>
      <c r="D556" s="97"/>
      <c r="E556" s="97"/>
      <c r="F556" s="97"/>
      <c r="G556" s="98" t="n">
        <f aca="false">G554+G555</f>
        <v>40613.791</v>
      </c>
      <c r="H556" s="24"/>
      <c r="I556" s="24"/>
      <c r="J556" s="24"/>
      <c r="K556" s="24"/>
      <c r="L556" s="24"/>
    </row>
    <row r="558" customFormat="false" ht="23.25" hidden="false" customHeight="true" outlineLevel="0" collapsed="false">
      <c r="A558" s="35" t="s">
        <v>186</v>
      </c>
      <c r="B558" s="35" t="s">
        <v>592</v>
      </c>
      <c r="C558" s="35"/>
      <c r="D558" s="35"/>
      <c r="E558" s="35"/>
      <c r="F558" s="35"/>
      <c r="G558" s="35"/>
      <c r="H558" s="35"/>
      <c r="I558" s="35"/>
      <c r="J558" s="81" t="s">
        <v>537</v>
      </c>
      <c r="K558" s="82" t="n">
        <v>10</v>
      </c>
      <c r="L558" s="35"/>
    </row>
    <row r="559" customFormat="false" ht="15" hidden="false" customHeight="true" outlineLevel="0" collapsed="false">
      <c r="A559" s="83" t="s">
        <v>538</v>
      </c>
      <c r="B559" s="25" t="s">
        <v>539</v>
      </c>
      <c r="C559" s="24"/>
      <c r="D559" s="24"/>
      <c r="E559" s="24"/>
      <c r="F559" s="24"/>
      <c r="G559" s="24"/>
      <c r="H559" s="24"/>
      <c r="I559" s="24"/>
      <c r="J559" s="24"/>
      <c r="K559" s="24"/>
      <c r="L559" s="24"/>
    </row>
    <row r="560" customFormat="false" ht="15" hidden="false" customHeight="true" outlineLevel="0" collapsed="false">
      <c r="A560" s="24"/>
      <c r="B560" s="20" t="s">
        <v>487</v>
      </c>
      <c r="C560" s="37" t="s">
        <v>488</v>
      </c>
      <c r="D560" s="37" t="s">
        <v>540</v>
      </c>
      <c r="E560" s="84" t="n">
        <v>0.054</v>
      </c>
      <c r="F560" s="21" t="n">
        <f aca="false">INDEX('Perhitungan Upah'!$C$5:$C$13,MATCH(C560,'Perhitungan Upah'!$B$5:$B$13,0))</f>
        <v>130500</v>
      </c>
      <c r="G560" s="21" t="n">
        <f aca="false">E560*F560</f>
        <v>7047</v>
      </c>
      <c r="H560" s="85" t="s">
        <v>186</v>
      </c>
      <c r="I560" s="85" t="s">
        <v>169</v>
      </c>
      <c r="J560" s="85" t="s">
        <v>541</v>
      </c>
      <c r="K560" s="86" t="n">
        <f aca="false">$K$558</f>
        <v>10</v>
      </c>
      <c r="L560" s="86" t="n">
        <f aca="false">E560*K560</f>
        <v>0.54</v>
      </c>
    </row>
    <row r="561" customFormat="false" ht="15" hidden="false" customHeight="true" outlineLevel="0" collapsed="false">
      <c r="A561" s="24"/>
      <c r="B561" s="20" t="s">
        <v>500</v>
      </c>
      <c r="C561" s="37" t="s">
        <v>501</v>
      </c>
      <c r="D561" s="37" t="s">
        <v>540</v>
      </c>
      <c r="E561" s="84" t="n">
        <v>0.09</v>
      </c>
      <c r="F561" s="21" t="n">
        <f aca="false">INDEX('Perhitungan Upah'!$C$5:$C$13,MATCH(C561,'Perhitungan Upah'!$B$5:$B$13,0))</f>
        <v>184400</v>
      </c>
      <c r="G561" s="21" t="n">
        <f aca="false">E561*F561</f>
        <v>16596</v>
      </c>
      <c r="H561" s="85" t="s">
        <v>186</v>
      </c>
      <c r="I561" s="85" t="s">
        <v>169</v>
      </c>
      <c r="J561" s="85" t="s">
        <v>541</v>
      </c>
      <c r="K561" s="86" t="n">
        <f aca="false">$K$558</f>
        <v>10</v>
      </c>
      <c r="L561" s="86" t="n">
        <f aca="false">E561*K561</f>
        <v>0.9</v>
      </c>
    </row>
    <row r="562" customFormat="false" ht="15" hidden="false" customHeight="true" outlineLevel="0" collapsed="false">
      <c r="A562" s="24"/>
      <c r="B562" s="20" t="s">
        <v>502</v>
      </c>
      <c r="C562" s="37" t="s">
        <v>503</v>
      </c>
      <c r="D562" s="37" t="s">
        <v>540</v>
      </c>
      <c r="E562" s="84" t="n">
        <v>0.009</v>
      </c>
      <c r="F562" s="21" t="n">
        <f aca="false">INDEX('Perhitungan Upah'!$C$5:$C$13,MATCH(C562,'Perhitungan Upah'!$B$5:$B$13,0))</f>
        <v>198900</v>
      </c>
      <c r="G562" s="21" t="n">
        <f aca="false">E562*F562</f>
        <v>1790.1</v>
      </c>
      <c r="H562" s="85" t="s">
        <v>186</v>
      </c>
      <c r="I562" s="85" t="s">
        <v>169</v>
      </c>
      <c r="J562" s="85" t="s">
        <v>541</v>
      </c>
      <c r="K562" s="86" t="n">
        <f aca="false">$K$558</f>
        <v>10</v>
      </c>
      <c r="L562" s="86" t="n">
        <f aca="false">E562*K562</f>
        <v>0.09</v>
      </c>
    </row>
    <row r="563" customFormat="false" ht="15" hidden="false" customHeight="true" outlineLevel="0" collapsed="false">
      <c r="A563" s="24"/>
      <c r="B563" s="20" t="s">
        <v>504</v>
      </c>
      <c r="C563" s="37" t="s">
        <v>505</v>
      </c>
      <c r="D563" s="37" t="s">
        <v>540</v>
      </c>
      <c r="E563" s="84" t="n">
        <v>0.0027</v>
      </c>
      <c r="F563" s="21" t="n">
        <f aca="false">INDEX('Perhitungan Upah'!$C$5:$C$13,MATCH(C563,'Perhitungan Upah'!$B$5:$B$13,0))</f>
        <v>228300</v>
      </c>
      <c r="G563" s="21" t="n">
        <f aca="false">E563*F563</f>
        <v>616.41</v>
      </c>
      <c r="H563" s="85" t="s">
        <v>186</v>
      </c>
      <c r="I563" s="85" t="s">
        <v>169</v>
      </c>
      <c r="J563" s="85" t="s">
        <v>541</v>
      </c>
      <c r="K563" s="86" t="n">
        <f aca="false">$K$558</f>
        <v>10</v>
      </c>
      <c r="L563" s="86" t="n">
        <f aca="false">E563*K563</f>
        <v>0.027</v>
      </c>
    </row>
    <row r="564" customFormat="false" ht="15" hidden="false" customHeight="true" outlineLevel="0" collapsed="false">
      <c r="A564" s="87"/>
      <c r="B564" s="88" t="s">
        <v>542</v>
      </c>
      <c r="C564" s="87"/>
      <c r="D564" s="87"/>
      <c r="E564" s="87"/>
      <c r="F564" s="87"/>
      <c r="G564" s="89" t="n">
        <f aca="false">SUM(G560:G563)</f>
        <v>26049.51</v>
      </c>
      <c r="H564" s="24"/>
      <c r="I564" s="24"/>
      <c r="J564" s="24"/>
      <c r="K564" s="24"/>
      <c r="L564" s="24"/>
    </row>
    <row r="565" customFormat="false" ht="15" hidden="false" customHeight="true" outlineLevel="0" collapsed="false">
      <c r="A565" s="83" t="s">
        <v>543</v>
      </c>
      <c r="B565" s="25" t="s">
        <v>544</v>
      </c>
      <c r="C565" s="24"/>
      <c r="D565" s="24"/>
      <c r="E565" s="24"/>
      <c r="F565" s="24"/>
      <c r="G565" s="24"/>
      <c r="H565" s="24"/>
      <c r="I565" s="24"/>
      <c r="J565" s="24"/>
      <c r="K565" s="24"/>
      <c r="L565" s="24"/>
    </row>
    <row r="566" customFormat="false" ht="15" hidden="false" customHeight="true" outlineLevel="0" collapsed="false">
      <c r="A566" s="24"/>
      <c r="B566" s="20" t="s">
        <v>402</v>
      </c>
      <c r="C566" s="37" t="s">
        <v>401</v>
      </c>
      <c r="D566" s="37" t="s">
        <v>400</v>
      </c>
      <c r="E566" s="84" t="n">
        <v>1.1</v>
      </c>
      <c r="F566" s="21" t="n">
        <f aca="false">VLOOKUP(C566,'Perhitungan Bahan'!$A$5:$J$61,10,FALSE())</f>
        <v>40000</v>
      </c>
      <c r="G566" s="21" t="n">
        <f aca="false">E566*F566</f>
        <v>44000</v>
      </c>
      <c r="H566" s="85" t="s">
        <v>186</v>
      </c>
      <c r="I566" s="85" t="s">
        <v>169</v>
      </c>
      <c r="J566" s="85" t="s">
        <v>282</v>
      </c>
      <c r="K566" s="86" t="n">
        <f aca="false">$K$558</f>
        <v>10</v>
      </c>
      <c r="L566" s="86" t="n">
        <f aca="false">E566*K566</f>
        <v>11</v>
      </c>
    </row>
    <row r="567" customFormat="false" ht="15" hidden="false" customHeight="true" outlineLevel="0" collapsed="false">
      <c r="A567" s="24"/>
      <c r="B567" s="20" t="s">
        <v>406</v>
      </c>
      <c r="C567" s="37" t="s">
        <v>405</v>
      </c>
      <c r="D567" s="37" t="s">
        <v>400</v>
      </c>
      <c r="E567" s="84" t="n">
        <v>1</v>
      </c>
      <c r="F567" s="21" t="n">
        <f aca="false">VLOOKUP(C567,'Perhitungan Bahan'!$A$5:$J$61,10,FALSE())</f>
        <v>7500</v>
      </c>
      <c r="G567" s="21" t="n">
        <f aca="false">E567*F567</f>
        <v>7500</v>
      </c>
      <c r="H567" s="85" t="s">
        <v>186</v>
      </c>
      <c r="I567" s="85" t="s">
        <v>169</v>
      </c>
      <c r="J567" s="85" t="s">
        <v>282</v>
      </c>
      <c r="K567" s="86" t="n">
        <f aca="false">$K$558</f>
        <v>10</v>
      </c>
      <c r="L567" s="86" t="n">
        <f aca="false">E567*K567</f>
        <v>10</v>
      </c>
    </row>
    <row r="568" customFormat="false" ht="15" hidden="false" customHeight="true" outlineLevel="0" collapsed="false">
      <c r="A568" s="87"/>
      <c r="B568" s="88" t="s">
        <v>71</v>
      </c>
      <c r="C568" s="87"/>
      <c r="D568" s="87"/>
      <c r="E568" s="87"/>
      <c r="F568" s="87"/>
      <c r="G568" s="89" t="n">
        <f aca="false">SUM(G566:G567)</f>
        <v>51500</v>
      </c>
      <c r="H568" s="24"/>
      <c r="I568" s="24"/>
      <c r="J568" s="24"/>
      <c r="K568" s="24"/>
      <c r="L568" s="24"/>
    </row>
    <row r="569" customFormat="false" ht="15" hidden="false" customHeight="true" outlineLevel="0" collapsed="false">
      <c r="A569" s="90" t="s">
        <v>545</v>
      </c>
      <c r="B569" s="91" t="s">
        <v>546</v>
      </c>
      <c r="C569" s="92"/>
      <c r="D569" s="92"/>
      <c r="E569" s="92"/>
      <c r="F569" s="92"/>
      <c r="G569" s="93" t="n">
        <f aca="false">G564+G568</f>
        <v>77549.51</v>
      </c>
      <c r="H569" s="24"/>
      <c r="I569" s="24"/>
      <c r="J569" s="24"/>
      <c r="K569" s="24"/>
      <c r="L569" s="24"/>
    </row>
    <row r="570" customFormat="false" ht="15" hidden="false" customHeight="true" outlineLevel="0" collapsed="false">
      <c r="A570" s="37" t="s">
        <v>547</v>
      </c>
      <c r="B570" s="20" t="s">
        <v>548</v>
      </c>
      <c r="C570" s="24"/>
      <c r="D570" s="24"/>
      <c r="E570" s="94" t="n">
        <f aca="false">Parameter!$B$4</f>
        <v>0.15</v>
      </c>
      <c r="F570" s="24"/>
      <c r="G570" s="21" t="n">
        <f aca="false">G569*E570</f>
        <v>11632.4265</v>
      </c>
      <c r="H570" s="24"/>
      <c r="I570" s="24"/>
      <c r="J570" s="24"/>
      <c r="K570" s="24"/>
      <c r="L570" s="24"/>
    </row>
    <row r="571" customFormat="false" ht="15" hidden="false" customHeight="true" outlineLevel="0" collapsed="false">
      <c r="A571" s="95" t="s">
        <v>549</v>
      </c>
      <c r="B571" s="96" t="s">
        <v>550</v>
      </c>
      <c r="C571" s="97"/>
      <c r="D571" s="97"/>
      <c r="E571" s="97"/>
      <c r="F571" s="97"/>
      <c r="G571" s="98" t="n">
        <f aca="false">G569+G570</f>
        <v>89181.9365</v>
      </c>
      <c r="H571" s="24"/>
      <c r="I571" s="24"/>
      <c r="J571" s="24"/>
      <c r="K571" s="24"/>
      <c r="L571" s="24"/>
    </row>
    <row r="573" customFormat="false" ht="23.25" hidden="false" customHeight="true" outlineLevel="0" collapsed="false">
      <c r="A573" s="35" t="s">
        <v>188</v>
      </c>
      <c r="B573" s="35" t="s">
        <v>593</v>
      </c>
      <c r="C573" s="35"/>
      <c r="D573" s="35"/>
      <c r="E573" s="35"/>
      <c r="F573" s="35"/>
      <c r="G573" s="35"/>
      <c r="H573" s="35"/>
      <c r="I573" s="35"/>
      <c r="J573" s="81" t="s">
        <v>537</v>
      </c>
      <c r="K573" s="82" t="n">
        <v>8</v>
      </c>
      <c r="L573" s="35"/>
    </row>
    <row r="574" customFormat="false" ht="15" hidden="false" customHeight="true" outlineLevel="0" collapsed="false">
      <c r="A574" s="83" t="s">
        <v>538</v>
      </c>
      <c r="B574" s="25" t="s">
        <v>539</v>
      </c>
      <c r="C574" s="24"/>
      <c r="D574" s="24"/>
      <c r="E574" s="24"/>
      <c r="F574" s="24"/>
      <c r="G574" s="24"/>
      <c r="H574" s="24"/>
      <c r="I574" s="24"/>
      <c r="J574" s="24"/>
      <c r="K574" s="24"/>
      <c r="L574" s="24"/>
    </row>
    <row r="575" customFormat="false" ht="15" hidden="false" customHeight="true" outlineLevel="0" collapsed="false">
      <c r="A575" s="24"/>
      <c r="B575" s="20" t="s">
        <v>487</v>
      </c>
      <c r="C575" s="37" t="s">
        <v>488</v>
      </c>
      <c r="D575" s="37" t="s">
        <v>540</v>
      </c>
      <c r="E575" s="84" t="n">
        <v>0.054</v>
      </c>
      <c r="F575" s="21" t="n">
        <f aca="false">INDEX('Perhitungan Upah'!$C$5:$C$13,MATCH(C575,'Perhitungan Upah'!$B$5:$B$13,0))</f>
        <v>130500</v>
      </c>
      <c r="G575" s="21" t="n">
        <f aca="false">E575*F575</f>
        <v>7047</v>
      </c>
      <c r="H575" s="85" t="s">
        <v>188</v>
      </c>
      <c r="I575" s="85" t="s">
        <v>169</v>
      </c>
      <c r="J575" s="85" t="s">
        <v>541</v>
      </c>
      <c r="K575" s="86" t="n">
        <f aca="false">$K$573</f>
        <v>8</v>
      </c>
      <c r="L575" s="86" t="n">
        <f aca="false">E575*K575</f>
        <v>0.432</v>
      </c>
    </row>
    <row r="576" customFormat="false" ht="15" hidden="false" customHeight="true" outlineLevel="0" collapsed="false">
      <c r="A576" s="24"/>
      <c r="B576" s="20" t="s">
        <v>500</v>
      </c>
      <c r="C576" s="37" t="s">
        <v>501</v>
      </c>
      <c r="D576" s="37" t="s">
        <v>540</v>
      </c>
      <c r="E576" s="84" t="n">
        <v>0.09</v>
      </c>
      <c r="F576" s="21" t="n">
        <f aca="false">INDEX('Perhitungan Upah'!$C$5:$C$13,MATCH(C576,'Perhitungan Upah'!$B$5:$B$13,0))</f>
        <v>184400</v>
      </c>
      <c r="G576" s="21" t="n">
        <f aca="false">E576*F576</f>
        <v>16596</v>
      </c>
      <c r="H576" s="85" t="s">
        <v>188</v>
      </c>
      <c r="I576" s="85" t="s">
        <v>169</v>
      </c>
      <c r="J576" s="85" t="s">
        <v>541</v>
      </c>
      <c r="K576" s="86" t="n">
        <f aca="false">$K$573</f>
        <v>8</v>
      </c>
      <c r="L576" s="86" t="n">
        <f aca="false">E576*K576</f>
        <v>0.72</v>
      </c>
    </row>
    <row r="577" customFormat="false" ht="15" hidden="false" customHeight="true" outlineLevel="0" collapsed="false">
      <c r="A577" s="24"/>
      <c r="B577" s="20" t="s">
        <v>502</v>
      </c>
      <c r="C577" s="37" t="s">
        <v>503</v>
      </c>
      <c r="D577" s="37" t="s">
        <v>540</v>
      </c>
      <c r="E577" s="84" t="n">
        <v>0.009</v>
      </c>
      <c r="F577" s="21" t="n">
        <f aca="false">INDEX('Perhitungan Upah'!$C$5:$C$13,MATCH(C577,'Perhitungan Upah'!$B$5:$B$13,0))</f>
        <v>198900</v>
      </c>
      <c r="G577" s="21" t="n">
        <f aca="false">E577*F577</f>
        <v>1790.1</v>
      </c>
      <c r="H577" s="85" t="s">
        <v>188</v>
      </c>
      <c r="I577" s="85" t="s">
        <v>169</v>
      </c>
      <c r="J577" s="85" t="s">
        <v>541</v>
      </c>
      <c r="K577" s="86" t="n">
        <f aca="false">$K$573</f>
        <v>8</v>
      </c>
      <c r="L577" s="86" t="n">
        <f aca="false">E577*K577</f>
        <v>0.072</v>
      </c>
    </row>
    <row r="578" customFormat="false" ht="15" hidden="false" customHeight="true" outlineLevel="0" collapsed="false">
      <c r="A578" s="24"/>
      <c r="B578" s="20" t="s">
        <v>504</v>
      </c>
      <c r="C578" s="37" t="s">
        <v>505</v>
      </c>
      <c r="D578" s="37" t="s">
        <v>540</v>
      </c>
      <c r="E578" s="84" t="n">
        <v>0.0027</v>
      </c>
      <c r="F578" s="21" t="n">
        <f aca="false">INDEX('Perhitungan Upah'!$C$5:$C$13,MATCH(C578,'Perhitungan Upah'!$B$5:$B$13,0))</f>
        <v>228300</v>
      </c>
      <c r="G578" s="21" t="n">
        <f aca="false">E578*F578</f>
        <v>616.41</v>
      </c>
      <c r="H578" s="85" t="s">
        <v>188</v>
      </c>
      <c r="I578" s="85" t="s">
        <v>169</v>
      </c>
      <c r="J578" s="85" t="s">
        <v>541</v>
      </c>
      <c r="K578" s="86" t="n">
        <f aca="false">$K$573</f>
        <v>8</v>
      </c>
      <c r="L578" s="86" t="n">
        <f aca="false">E578*K578</f>
        <v>0.0216</v>
      </c>
    </row>
    <row r="579" customFormat="false" ht="15" hidden="false" customHeight="true" outlineLevel="0" collapsed="false">
      <c r="A579" s="87"/>
      <c r="B579" s="88" t="s">
        <v>542</v>
      </c>
      <c r="C579" s="87"/>
      <c r="D579" s="87"/>
      <c r="E579" s="87"/>
      <c r="F579" s="87"/>
      <c r="G579" s="89" t="n">
        <f aca="false">SUM(G575:G578)</f>
        <v>26049.51</v>
      </c>
      <c r="H579" s="24"/>
      <c r="I579" s="24"/>
      <c r="J579" s="24"/>
      <c r="K579" s="24"/>
      <c r="L579" s="24"/>
    </row>
    <row r="580" customFormat="false" ht="15" hidden="false" customHeight="true" outlineLevel="0" collapsed="false">
      <c r="A580" s="83" t="s">
        <v>543</v>
      </c>
      <c r="B580" s="25" t="s">
        <v>544</v>
      </c>
      <c r="C580" s="24"/>
      <c r="D580" s="24"/>
      <c r="E580" s="24"/>
      <c r="F580" s="24"/>
      <c r="G580" s="24"/>
      <c r="H580" s="24"/>
      <c r="I580" s="24"/>
      <c r="J580" s="24"/>
      <c r="K580" s="24"/>
      <c r="L580" s="24"/>
    </row>
    <row r="581" customFormat="false" ht="15" hidden="false" customHeight="true" outlineLevel="0" collapsed="false">
      <c r="A581" s="24"/>
      <c r="B581" s="20" t="s">
        <v>404</v>
      </c>
      <c r="C581" s="37" t="s">
        <v>403</v>
      </c>
      <c r="D581" s="37" t="s">
        <v>400</v>
      </c>
      <c r="E581" s="84" t="n">
        <v>1.1</v>
      </c>
      <c r="F581" s="21" t="n">
        <f aca="false">VLOOKUP(C581,'Perhitungan Bahan'!$A$5:$J$61,10,FALSE())</f>
        <v>57500</v>
      </c>
      <c r="G581" s="21" t="n">
        <f aca="false">E581*F581</f>
        <v>63250</v>
      </c>
      <c r="H581" s="85" t="s">
        <v>188</v>
      </c>
      <c r="I581" s="85" t="s">
        <v>169</v>
      </c>
      <c r="J581" s="85" t="s">
        <v>282</v>
      </c>
      <c r="K581" s="86" t="n">
        <f aca="false">$K$573</f>
        <v>8</v>
      </c>
      <c r="L581" s="86" t="n">
        <f aca="false">E581*K581</f>
        <v>8.8</v>
      </c>
    </row>
    <row r="582" customFormat="false" ht="15" hidden="false" customHeight="true" outlineLevel="0" collapsed="false">
      <c r="A582" s="24"/>
      <c r="B582" s="20" t="s">
        <v>406</v>
      </c>
      <c r="C582" s="37" t="s">
        <v>405</v>
      </c>
      <c r="D582" s="37" t="s">
        <v>400</v>
      </c>
      <c r="E582" s="84" t="n">
        <v>1</v>
      </c>
      <c r="F582" s="21" t="n">
        <f aca="false">VLOOKUP(C582,'Perhitungan Bahan'!$A$5:$J$61,10,FALSE())</f>
        <v>7500</v>
      </c>
      <c r="G582" s="21" t="n">
        <f aca="false">E582*F582</f>
        <v>7500</v>
      </c>
      <c r="H582" s="85" t="s">
        <v>188</v>
      </c>
      <c r="I582" s="85" t="s">
        <v>169</v>
      </c>
      <c r="J582" s="85" t="s">
        <v>282</v>
      </c>
      <c r="K582" s="86" t="n">
        <f aca="false">$K$573</f>
        <v>8</v>
      </c>
      <c r="L582" s="86" t="n">
        <f aca="false">E582*K582</f>
        <v>8</v>
      </c>
    </row>
    <row r="583" customFormat="false" ht="15" hidden="false" customHeight="true" outlineLevel="0" collapsed="false">
      <c r="A583" s="87"/>
      <c r="B583" s="88" t="s">
        <v>71</v>
      </c>
      <c r="C583" s="87"/>
      <c r="D583" s="87"/>
      <c r="E583" s="87"/>
      <c r="F583" s="87"/>
      <c r="G583" s="89" t="n">
        <f aca="false">SUM(G581:G582)</f>
        <v>70750</v>
      </c>
      <c r="H583" s="24"/>
      <c r="I583" s="24"/>
      <c r="J583" s="24"/>
      <c r="K583" s="24"/>
      <c r="L583" s="24"/>
    </row>
    <row r="584" customFormat="false" ht="15" hidden="false" customHeight="true" outlineLevel="0" collapsed="false">
      <c r="A584" s="90" t="s">
        <v>545</v>
      </c>
      <c r="B584" s="91" t="s">
        <v>546</v>
      </c>
      <c r="C584" s="92"/>
      <c r="D584" s="92"/>
      <c r="E584" s="92"/>
      <c r="F584" s="92"/>
      <c r="G584" s="93" t="n">
        <f aca="false">G579+G583</f>
        <v>96799.51</v>
      </c>
      <c r="H584" s="24"/>
      <c r="I584" s="24"/>
      <c r="J584" s="24"/>
      <c r="K584" s="24"/>
      <c r="L584" s="24"/>
    </row>
    <row r="585" customFormat="false" ht="15" hidden="false" customHeight="true" outlineLevel="0" collapsed="false">
      <c r="A585" s="37" t="s">
        <v>547</v>
      </c>
      <c r="B585" s="20" t="s">
        <v>548</v>
      </c>
      <c r="C585" s="24"/>
      <c r="D585" s="24"/>
      <c r="E585" s="94" t="n">
        <f aca="false">Parameter!$B$4</f>
        <v>0.15</v>
      </c>
      <c r="F585" s="24"/>
      <c r="G585" s="21" t="n">
        <f aca="false">G584*E585</f>
        <v>14519.9265</v>
      </c>
      <c r="H585" s="24"/>
      <c r="I585" s="24"/>
      <c r="J585" s="24"/>
      <c r="K585" s="24"/>
      <c r="L585" s="24"/>
    </row>
    <row r="586" customFormat="false" ht="15" hidden="false" customHeight="true" outlineLevel="0" collapsed="false">
      <c r="A586" s="95" t="s">
        <v>549</v>
      </c>
      <c r="B586" s="96" t="s">
        <v>550</v>
      </c>
      <c r="C586" s="97"/>
      <c r="D586" s="97"/>
      <c r="E586" s="97"/>
      <c r="F586" s="97"/>
      <c r="G586" s="98" t="n">
        <f aca="false">G584+G585</f>
        <v>111319.4365</v>
      </c>
      <c r="H586" s="24"/>
      <c r="I586" s="24"/>
      <c r="J586" s="24"/>
      <c r="K586" s="24"/>
      <c r="L586" s="24"/>
    </row>
    <row r="588" customFormat="false" ht="23.25" hidden="false" customHeight="true" outlineLevel="0" collapsed="false">
      <c r="A588" s="35" t="s">
        <v>190</v>
      </c>
      <c r="B588" s="35" t="s">
        <v>594</v>
      </c>
      <c r="C588" s="35"/>
      <c r="D588" s="35"/>
      <c r="E588" s="35"/>
      <c r="F588" s="35"/>
      <c r="G588" s="35"/>
      <c r="H588" s="35"/>
      <c r="I588" s="35"/>
      <c r="J588" s="81" t="s">
        <v>537</v>
      </c>
      <c r="K588" s="82" t="n">
        <v>1</v>
      </c>
      <c r="L588" s="35"/>
    </row>
    <row r="589" customFormat="false" ht="15" hidden="false" customHeight="true" outlineLevel="0" collapsed="false">
      <c r="A589" s="83" t="s">
        <v>538</v>
      </c>
      <c r="B589" s="25" t="s">
        <v>539</v>
      </c>
      <c r="C589" s="24"/>
      <c r="D589" s="24"/>
      <c r="E589" s="24"/>
      <c r="F589" s="24"/>
      <c r="G589" s="24"/>
      <c r="H589" s="24"/>
      <c r="I589" s="24"/>
      <c r="J589" s="24"/>
      <c r="K589" s="24"/>
      <c r="L589" s="24"/>
    </row>
    <row r="590" customFormat="false" ht="15" hidden="false" customHeight="true" outlineLevel="0" collapsed="false">
      <c r="A590" s="24"/>
      <c r="B590" s="20" t="s">
        <v>500</v>
      </c>
      <c r="C590" s="37" t="s">
        <v>501</v>
      </c>
      <c r="D590" s="37" t="s">
        <v>540</v>
      </c>
      <c r="E590" s="84" t="n">
        <v>2</v>
      </c>
      <c r="F590" s="21" t="n">
        <f aca="false">INDEX('Perhitungan Upah'!$C$5:$C$13,MATCH(C590,'Perhitungan Upah'!$B$5:$B$13,0))</f>
        <v>184400</v>
      </c>
      <c r="G590" s="21" t="n">
        <f aca="false">E590*F590</f>
        <v>368800</v>
      </c>
      <c r="H590" s="85" t="s">
        <v>190</v>
      </c>
      <c r="I590" s="85" t="s">
        <v>169</v>
      </c>
      <c r="J590" s="85" t="s">
        <v>541</v>
      </c>
      <c r="K590" s="86" t="n">
        <f aca="false">$K$588</f>
        <v>1</v>
      </c>
      <c r="L590" s="86" t="n">
        <f aca="false">E590*K590</f>
        <v>2</v>
      </c>
    </row>
    <row r="591" customFormat="false" ht="15" hidden="false" customHeight="true" outlineLevel="0" collapsed="false">
      <c r="A591" s="24"/>
      <c r="B591" s="20" t="s">
        <v>487</v>
      </c>
      <c r="C591" s="37" t="s">
        <v>488</v>
      </c>
      <c r="D591" s="37" t="s">
        <v>540</v>
      </c>
      <c r="E591" s="84" t="n">
        <v>1.5</v>
      </c>
      <c r="F591" s="21" t="n">
        <f aca="false">INDEX('Perhitungan Upah'!$C$5:$C$13,MATCH(C591,'Perhitungan Upah'!$B$5:$B$13,0))</f>
        <v>130500</v>
      </c>
      <c r="G591" s="21" t="n">
        <f aca="false">E591*F591</f>
        <v>195750</v>
      </c>
      <c r="H591" s="85" t="s">
        <v>190</v>
      </c>
      <c r="I591" s="85" t="s">
        <v>169</v>
      </c>
      <c r="J591" s="85" t="s">
        <v>541</v>
      </c>
      <c r="K591" s="86" t="n">
        <f aca="false">$K$588</f>
        <v>1</v>
      </c>
      <c r="L591" s="86" t="n">
        <f aca="false">E591*K591</f>
        <v>1.5</v>
      </c>
    </row>
    <row r="592" customFormat="false" ht="15" hidden="false" customHeight="true" outlineLevel="0" collapsed="false">
      <c r="A592" s="87"/>
      <c r="B592" s="88" t="s">
        <v>542</v>
      </c>
      <c r="C592" s="87"/>
      <c r="D592" s="87"/>
      <c r="E592" s="87"/>
      <c r="F592" s="87"/>
      <c r="G592" s="89" t="n">
        <f aca="false">SUM(G590:G591)</f>
        <v>564550</v>
      </c>
      <c r="H592" s="24"/>
      <c r="I592" s="24"/>
      <c r="J592" s="24"/>
      <c r="K592" s="24"/>
      <c r="L592" s="24"/>
    </row>
    <row r="593" customFormat="false" ht="15" hidden="false" customHeight="true" outlineLevel="0" collapsed="false">
      <c r="A593" s="83" t="s">
        <v>543</v>
      </c>
      <c r="B593" s="25" t="s">
        <v>544</v>
      </c>
      <c r="C593" s="24"/>
      <c r="D593" s="24"/>
      <c r="E593" s="24"/>
      <c r="F593" s="24"/>
      <c r="G593" s="24"/>
      <c r="H593" s="24"/>
      <c r="I593" s="24"/>
      <c r="J593" s="24"/>
      <c r="K593" s="24"/>
      <c r="L593" s="24"/>
    </row>
    <row r="594" customFormat="false" ht="15" hidden="false" customHeight="true" outlineLevel="0" collapsed="false">
      <c r="A594" s="24"/>
      <c r="B594" s="20" t="s">
        <v>191</v>
      </c>
      <c r="C594" s="37" t="s">
        <v>446</v>
      </c>
      <c r="D594" s="37" t="s">
        <v>154</v>
      </c>
      <c r="E594" s="84" t="n">
        <v>1</v>
      </c>
      <c r="F594" s="21" t="n">
        <f aca="false">VLOOKUP(C594,'Perhitungan Bahan'!$A$5:$J$61,10,FALSE())</f>
        <v>2300000</v>
      </c>
      <c r="G594" s="21" t="n">
        <f aca="false">E594*F594</f>
        <v>2300000</v>
      </c>
      <c r="H594" s="85" t="s">
        <v>190</v>
      </c>
      <c r="I594" s="85" t="s">
        <v>169</v>
      </c>
      <c r="J594" s="85" t="s">
        <v>282</v>
      </c>
      <c r="K594" s="86" t="n">
        <f aca="false">$K$588</f>
        <v>1</v>
      </c>
      <c r="L594" s="86" t="n">
        <f aca="false">E594*K594</f>
        <v>1</v>
      </c>
    </row>
    <row r="595" customFormat="false" ht="15" hidden="false" customHeight="true" outlineLevel="0" collapsed="false">
      <c r="A595" s="87"/>
      <c r="B595" s="88" t="s">
        <v>71</v>
      </c>
      <c r="C595" s="87"/>
      <c r="D595" s="87"/>
      <c r="E595" s="87"/>
      <c r="F595" s="87"/>
      <c r="G595" s="89" t="n">
        <f aca="false">SUM(G594:G594)</f>
        <v>2300000</v>
      </c>
      <c r="H595" s="24"/>
      <c r="I595" s="24"/>
      <c r="J595" s="24"/>
      <c r="K595" s="24"/>
      <c r="L595" s="24"/>
    </row>
    <row r="596" customFormat="false" ht="15" hidden="false" customHeight="true" outlineLevel="0" collapsed="false">
      <c r="A596" s="90" t="s">
        <v>545</v>
      </c>
      <c r="B596" s="91" t="s">
        <v>546</v>
      </c>
      <c r="C596" s="92"/>
      <c r="D596" s="92"/>
      <c r="E596" s="92"/>
      <c r="F596" s="92"/>
      <c r="G596" s="93" t="n">
        <f aca="false">G592+G595</f>
        <v>2864550</v>
      </c>
      <c r="H596" s="24"/>
      <c r="I596" s="24"/>
      <c r="J596" s="24"/>
      <c r="K596" s="24"/>
      <c r="L596" s="24"/>
    </row>
    <row r="597" customFormat="false" ht="15" hidden="false" customHeight="true" outlineLevel="0" collapsed="false">
      <c r="A597" s="37" t="s">
        <v>547</v>
      </c>
      <c r="B597" s="20" t="s">
        <v>548</v>
      </c>
      <c r="C597" s="24"/>
      <c r="D597" s="24"/>
      <c r="E597" s="94" t="n">
        <f aca="false">Parameter!$B$4</f>
        <v>0.15</v>
      </c>
      <c r="F597" s="24"/>
      <c r="G597" s="21" t="n">
        <f aca="false">G596*E597</f>
        <v>429682.5</v>
      </c>
      <c r="H597" s="24"/>
      <c r="I597" s="24"/>
      <c r="J597" s="24"/>
      <c r="K597" s="24"/>
      <c r="L597" s="24"/>
    </row>
    <row r="598" customFormat="false" ht="15" hidden="false" customHeight="true" outlineLevel="0" collapsed="false">
      <c r="A598" s="95" t="s">
        <v>549</v>
      </c>
      <c r="B598" s="96" t="s">
        <v>550</v>
      </c>
      <c r="C598" s="97"/>
      <c r="D598" s="97"/>
      <c r="E598" s="97"/>
      <c r="F598" s="97"/>
      <c r="G598" s="98" t="n">
        <f aca="false">G596+G597</f>
        <v>3294232.5</v>
      </c>
      <c r="H598" s="24"/>
      <c r="I598" s="24"/>
      <c r="J598" s="24"/>
      <c r="K598" s="24"/>
      <c r="L598" s="24"/>
    </row>
    <row r="600" customFormat="false" ht="23.25" hidden="false" customHeight="true" outlineLevel="0" collapsed="false">
      <c r="A600" s="35" t="s">
        <v>192</v>
      </c>
      <c r="B600" s="35" t="s">
        <v>595</v>
      </c>
      <c r="C600" s="35"/>
      <c r="D600" s="35"/>
      <c r="E600" s="35"/>
      <c r="F600" s="35"/>
      <c r="G600" s="35"/>
      <c r="H600" s="35"/>
      <c r="I600" s="35"/>
      <c r="J600" s="81" t="s">
        <v>537</v>
      </c>
      <c r="K600" s="82" t="n">
        <v>1</v>
      </c>
      <c r="L600" s="35"/>
    </row>
    <row r="601" customFormat="false" ht="15" hidden="false" customHeight="true" outlineLevel="0" collapsed="false">
      <c r="A601" s="83" t="s">
        <v>538</v>
      </c>
      <c r="B601" s="25" t="s">
        <v>539</v>
      </c>
      <c r="C601" s="24"/>
      <c r="D601" s="24"/>
      <c r="E601" s="24"/>
      <c r="F601" s="24"/>
      <c r="G601" s="24"/>
      <c r="H601" s="24"/>
      <c r="I601" s="24"/>
      <c r="J601" s="24"/>
      <c r="K601" s="24"/>
      <c r="L601" s="24"/>
    </row>
    <row r="602" customFormat="false" ht="15" hidden="false" customHeight="true" outlineLevel="0" collapsed="false">
      <c r="A602" s="24"/>
      <c r="B602" s="20" t="s">
        <v>500</v>
      </c>
      <c r="C602" s="37" t="s">
        <v>501</v>
      </c>
      <c r="D602" s="37" t="s">
        <v>540</v>
      </c>
      <c r="E602" s="84" t="n">
        <v>0.5</v>
      </c>
      <c r="F602" s="21" t="n">
        <f aca="false">INDEX('Perhitungan Upah'!$C$5:$C$13,MATCH(C602,'Perhitungan Upah'!$B$5:$B$13,0))</f>
        <v>184400</v>
      </c>
      <c r="G602" s="21" t="n">
        <f aca="false">E602*F602</f>
        <v>92200</v>
      </c>
      <c r="H602" s="85" t="s">
        <v>192</v>
      </c>
      <c r="I602" s="85" t="s">
        <v>169</v>
      </c>
      <c r="J602" s="85" t="s">
        <v>541</v>
      </c>
      <c r="K602" s="86" t="n">
        <f aca="false">$K$600</f>
        <v>1</v>
      </c>
      <c r="L602" s="86" t="n">
        <f aca="false">E602*K602</f>
        <v>0.5</v>
      </c>
    </row>
    <row r="603" customFormat="false" ht="15" hidden="false" customHeight="true" outlineLevel="0" collapsed="false">
      <c r="A603" s="24"/>
      <c r="B603" s="20" t="s">
        <v>487</v>
      </c>
      <c r="C603" s="37" t="s">
        <v>488</v>
      </c>
      <c r="D603" s="37" t="s">
        <v>540</v>
      </c>
      <c r="E603" s="84" t="n">
        <v>0.3</v>
      </c>
      <c r="F603" s="21" t="n">
        <f aca="false">INDEX('Perhitungan Upah'!$C$5:$C$13,MATCH(C603,'Perhitungan Upah'!$B$5:$B$13,0))</f>
        <v>130500</v>
      </c>
      <c r="G603" s="21" t="n">
        <f aca="false">E603*F603</f>
        <v>39150</v>
      </c>
      <c r="H603" s="85" t="s">
        <v>192</v>
      </c>
      <c r="I603" s="85" t="s">
        <v>169</v>
      </c>
      <c r="J603" s="85" t="s">
        <v>541</v>
      </c>
      <c r="K603" s="86" t="n">
        <f aca="false">$K$600</f>
        <v>1</v>
      </c>
      <c r="L603" s="86" t="n">
        <f aca="false">E603*K603</f>
        <v>0.3</v>
      </c>
    </row>
    <row r="604" customFormat="false" ht="15" hidden="false" customHeight="true" outlineLevel="0" collapsed="false">
      <c r="A604" s="87"/>
      <c r="B604" s="88" t="s">
        <v>542</v>
      </c>
      <c r="C604" s="87"/>
      <c r="D604" s="87"/>
      <c r="E604" s="87"/>
      <c r="F604" s="87"/>
      <c r="G604" s="89" t="n">
        <f aca="false">SUM(G602:G603)</f>
        <v>131350</v>
      </c>
      <c r="H604" s="24"/>
      <c r="I604" s="24"/>
      <c r="J604" s="24"/>
      <c r="K604" s="24"/>
      <c r="L604" s="24"/>
    </row>
    <row r="605" customFormat="false" ht="15" hidden="false" customHeight="true" outlineLevel="0" collapsed="false">
      <c r="A605" s="83" t="s">
        <v>543</v>
      </c>
      <c r="B605" s="25" t="s">
        <v>544</v>
      </c>
      <c r="C605" s="24"/>
      <c r="D605" s="24"/>
      <c r="E605" s="24"/>
      <c r="F605" s="24"/>
      <c r="G605" s="24"/>
      <c r="H605" s="24"/>
      <c r="I605" s="24"/>
      <c r="J605" s="24"/>
      <c r="K605" s="24"/>
      <c r="L605" s="24"/>
    </row>
    <row r="606" customFormat="false" ht="15" hidden="false" customHeight="true" outlineLevel="0" collapsed="false">
      <c r="A606" s="24"/>
      <c r="B606" s="20" t="s">
        <v>193</v>
      </c>
      <c r="C606" s="37" t="s">
        <v>447</v>
      </c>
      <c r="D606" s="37" t="s">
        <v>154</v>
      </c>
      <c r="E606" s="84" t="n">
        <v>1</v>
      </c>
      <c r="F606" s="21" t="n">
        <f aca="false">VLOOKUP(C606,'Perhitungan Bahan'!$A$5:$J$61,10,FALSE())</f>
        <v>800000</v>
      </c>
      <c r="G606" s="21" t="n">
        <f aca="false">E606*F606</f>
        <v>800000</v>
      </c>
      <c r="H606" s="85" t="s">
        <v>192</v>
      </c>
      <c r="I606" s="85" t="s">
        <v>169</v>
      </c>
      <c r="J606" s="85" t="s">
        <v>282</v>
      </c>
      <c r="K606" s="86" t="n">
        <f aca="false">$K$600</f>
        <v>1</v>
      </c>
      <c r="L606" s="86" t="n">
        <f aca="false">E606*K606</f>
        <v>1</v>
      </c>
    </row>
    <row r="607" customFormat="false" ht="15" hidden="false" customHeight="true" outlineLevel="0" collapsed="false">
      <c r="A607" s="87"/>
      <c r="B607" s="88" t="s">
        <v>71</v>
      </c>
      <c r="C607" s="87"/>
      <c r="D607" s="87"/>
      <c r="E607" s="87"/>
      <c r="F607" s="87"/>
      <c r="G607" s="89" t="n">
        <f aca="false">SUM(G606:G606)</f>
        <v>800000</v>
      </c>
      <c r="H607" s="24"/>
      <c r="I607" s="24"/>
      <c r="J607" s="24"/>
      <c r="K607" s="24"/>
      <c r="L607" s="24"/>
    </row>
    <row r="608" customFormat="false" ht="15" hidden="false" customHeight="true" outlineLevel="0" collapsed="false">
      <c r="A608" s="90" t="s">
        <v>545</v>
      </c>
      <c r="B608" s="91" t="s">
        <v>546</v>
      </c>
      <c r="C608" s="92"/>
      <c r="D608" s="92"/>
      <c r="E608" s="92"/>
      <c r="F608" s="92"/>
      <c r="G608" s="93" t="n">
        <f aca="false">G604+G607</f>
        <v>931350</v>
      </c>
      <c r="H608" s="24"/>
      <c r="I608" s="24"/>
      <c r="J608" s="24"/>
      <c r="K608" s="24"/>
      <c r="L608" s="24"/>
    </row>
    <row r="609" customFormat="false" ht="15" hidden="false" customHeight="true" outlineLevel="0" collapsed="false">
      <c r="A609" s="37" t="s">
        <v>547</v>
      </c>
      <c r="B609" s="20" t="s">
        <v>548</v>
      </c>
      <c r="C609" s="24"/>
      <c r="D609" s="24"/>
      <c r="E609" s="94" t="n">
        <f aca="false">Parameter!$B$4</f>
        <v>0.15</v>
      </c>
      <c r="F609" s="24"/>
      <c r="G609" s="21" t="n">
        <f aca="false">G608*E609</f>
        <v>139702.5</v>
      </c>
      <c r="H609" s="24"/>
      <c r="I609" s="24"/>
      <c r="J609" s="24"/>
      <c r="K609" s="24"/>
      <c r="L609" s="24"/>
    </row>
    <row r="610" customFormat="false" ht="15" hidden="false" customHeight="true" outlineLevel="0" collapsed="false">
      <c r="A610" s="95" t="s">
        <v>549</v>
      </c>
      <c r="B610" s="96" t="s">
        <v>550</v>
      </c>
      <c r="C610" s="97"/>
      <c r="D610" s="97"/>
      <c r="E610" s="97"/>
      <c r="F610" s="97"/>
      <c r="G610" s="98" t="n">
        <f aca="false">G608+G609</f>
        <v>1071052.5</v>
      </c>
      <c r="H610" s="24"/>
      <c r="I610" s="24"/>
      <c r="J610" s="24"/>
      <c r="K610" s="24"/>
      <c r="L610" s="24"/>
    </row>
    <row r="612" customFormat="false" ht="23.25" hidden="false" customHeight="true" outlineLevel="0" collapsed="false">
      <c r="A612" s="35" t="s">
        <v>194</v>
      </c>
      <c r="B612" s="35" t="s">
        <v>596</v>
      </c>
      <c r="C612" s="35"/>
      <c r="D612" s="35"/>
      <c r="E612" s="35"/>
      <c r="F612" s="35"/>
      <c r="G612" s="35"/>
      <c r="H612" s="35"/>
      <c r="I612" s="35"/>
      <c r="J612" s="81" t="s">
        <v>537</v>
      </c>
      <c r="K612" s="82" t="n">
        <v>1</v>
      </c>
      <c r="L612" s="35"/>
    </row>
    <row r="613" customFormat="false" ht="23.25" hidden="false" customHeight="true" outlineLevel="0" collapsed="false">
      <c r="A613" s="83" t="s">
        <v>538</v>
      </c>
      <c r="B613" s="25" t="s">
        <v>567</v>
      </c>
      <c r="C613" s="24"/>
      <c r="D613" s="24"/>
      <c r="E613" s="24"/>
      <c r="F613" s="24"/>
      <c r="G613" s="26" t="n">
        <v>0</v>
      </c>
      <c r="H613" s="24"/>
      <c r="I613" s="24"/>
      <c r="J613" s="24"/>
      <c r="K613" s="24"/>
      <c r="L613" s="24"/>
    </row>
    <row r="614" customFormat="false" ht="23.25" hidden="false" customHeight="true" outlineLevel="0" collapsed="false">
      <c r="A614" s="83" t="s">
        <v>543</v>
      </c>
      <c r="B614" s="25" t="s">
        <v>568</v>
      </c>
      <c r="C614" s="24"/>
      <c r="D614" s="24"/>
      <c r="E614" s="24"/>
      <c r="F614" s="24"/>
      <c r="G614" s="24"/>
      <c r="H614" s="24"/>
      <c r="I614" s="24"/>
      <c r="J614" s="24"/>
      <c r="K614" s="24"/>
      <c r="L614" s="24"/>
    </row>
    <row r="615" customFormat="false" ht="15" hidden="false" customHeight="true" outlineLevel="0" collapsed="false">
      <c r="A615" s="24"/>
      <c r="B615" s="20" t="s">
        <v>195</v>
      </c>
      <c r="C615" s="37" t="s">
        <v>473</v>
      </c>
      <c r="D615" s="37" t="s">
        <v>154</v>
      </c>
      <c r="E615" s="99" t="n">
        <v>1</v>
      </c>
      <c r="F615" s="39" t="n">
        <f aca="false">'Perhitungan Bahan'!I72</f>
        <v>3762900</v>
      </c>
      <c r="G615" s="21" t="n">
        <f aca="false">E615*F615</f>
        <v>3762900</v>
      </c>
      <c r="H615" s="24"/>
      <c r="I615" s="24"/>
      <c r="J615" s="24"/>
      <c r="K615" s="24"/>
      <c r="L615" s="24"/>
    </row>
    <row r="616" customFormat="false" ht="15" hidden="false" customHeight="true" outlineLevel="0" collapsed="false">
      <c r="A616" s="87"/>
      <c r="B616" s="88" t="s">
        <v>569</v>
      </c>
      <c r="C616" s="87"/>
      <c r="D616" s="87"/>
      <c r="E616" s="87"/>
      <c r="F616" s="87"/>
      <c r="G616" s="89" t="n">
        <f aca="false">G615</f>
        <v>3762900</v>
      </c>
      <c r="H616" s="24"/>
      <c r="I616" s="24"/>
      <c r="J616" s="24"/>
      <c r="K616" s="24"/>
      <c r="L616" s="24"/>
    </row>
    <row r="617" customFormat="false" ht="15" hidden="false" customHeight="true" outlineLevel="0" collapsed="false">
      <c r="A617" s="90" t="s">
        <v>545</v>
      </c>
      <c r="B617" s="91" t="s">
        <v>546</v>
      </c>
      <c r="C617" s="92"/>
      <c r="D617" s="92"/>
      <c r="E617" s="92"/>
      <c r="F617" s="92"/>
      <c r="G617" s="93" t="n">
        <f aca="false">G613+G616</f>
        <v>3762900</v>
      </c>
      <c r="H617" s="24"/>
      <c r="I617" s="24"/>
      <c r="J617" s="24"/>
      <c r="K617" s="24"/>
      <c r="L617" s="24"/>
    </row>
    <row r="618" customFormat="false" ht="15" hidden="false" customHeight="true" outlineLevel="0" collapsed="false">
      <c r="A618" s="37" t="s">
        <v>547</v>
      </c>
      <c r="B618" s="20" t="s">
        <v>548</v>
      </c>
      <c r="C618" s="24"/>
      <c r="D618" s="24"/>
      <c r="E618" s="94" t="n">
        <f aca="false">Parameter!$B$4</f>
        <v>0.15</v>
      </c>
      <c r="F618" s="24"/>
      <c r="G618" s="21" t="n">
        <f aca="false">G617*E618</f>
        <v>564435</v>
      </c>
      <c r="H618" s="24"/>
      <c r="I618" s="24"/>
      <c r="J618" s="24"/>
      <c r="K618" s="24"/>
      <c r="L618" s="24"/>
    </row>
    <row r="619" customFormat="false" ht="15" hidden="false" customHeight="true" outlineLevel="0" collapsed="false">
      <c r="A619" s="95" t="s">
        <v>549</v>
      </c>
      <c r="B619" s="96" t="s">
        <v>550</v>
      </c>
      <c r="C619" s="97"/>
      <c r="D619" s="97"/>
      <c r="E619" s="97"/>
      <c r="F619" s="97"/>
      <c r="G619" s="98" t="n">
        <f aca="false">G617+G618</f>
        <v>4327335</v>
      </c>
      <c r="H619" s="24"/>
      <c r="I619" s="24"/>
      <c r="J619" s="24"/>
      <c r="K619" s="24"/>
      <c r="L619" s="24"/>
    </row>
    <row r="621" customFormat="false" ht="23.25" hidden="false" customHeight="true" outlineLevel="0" collapsed="false">
      <c r="A621" s="35" t="s">
        <v>198</v>
      </c>
      <c r="B621" s="35" t="s">
        <v>597</v>
      </c>
      <c r="C621" s="35"/>
      <c r="D621" s="35"/>
      <c r="E621" s="35"/>
      <c r="F621" s="35"/>
      <c r="G621" s="35"/>
      <c r="H621" s="35"/>
      <c r="I621" s="35"/>
      <c r="J621" s="81" t="s">
        <v>537</v>
      </c>
      <c r="K621" s="82" t="n">
        <v>10</v>
      </c>
      <c r="L621" s="35"/>
    </row>
    <row r="622" customFormat="false" ht="15" hidden="false" customHeight="true" outlineLevel="0" collapsed="false">
      <c r="A622" s="83" t="s">
        <v>538</v>
      </c>
      <c r="B622" s="25" t="s">
        <v>539</v>
      </c>
      <c r="C622" s="24"/>
      <c r="D622" s="24"/>
      <c r="E622" s="24"/>
      <c r="F622" s="24"/>
      <c r="G622" s="24"/>
      <c r="H622" s="24"/>
      <c r="I622" s="24"/>
      <c r="J622" s="24"/>
      <c r="K622" s="24"/>
      <c r="L622" s="24"/>
    </row>
    <row r="623" customFormat="false" ht="15" hidden="false" customHeight="true" outlineLevel="0" collapsed="false">
      <c r="A623" s="24"/>
      <c r="B623" s="20" t="s">
        <v>498</v>
      </c>
      <c r="C623" s="37" t="s">
        <v>499</v>
      </c>
      <c r="D623" s="37" t="s">
        <v>540</v>
      </c>
      <c r="E623" s="84" t="n">
        <v>0.35</v>
      </c>
      <c r="F623" s="21" t="n">
        <f aca="false">INDEX('Perhitungan Upah'!$C$5:$C$13,MATCH(C623,'Perhitungan Upah'!$B$5:$B$13,0))</f>
        <v>182800</v>
      </c>
      <c r="G623" s="21" t="n">
        <f aca="false">E623*F623</f>
        <v>63980</v>
      </c>
      <c r="H623" s="85" t="s">
        <v>198</v>
      </c>
      <c r="I623" s="85" t="s">
        <v>196</v>
      </c>
      <c r="J623" s="85" t="s">
        <v>541</v>
      </c>
      <c r="K623" s="86" t="n">
        <f aca="false">$K$621</f>
        <v>10</v>
      </c>
      <c r="L623" s="86" t="n">
        <f aca="false">E623*K623</f>
        <v>3.5</v>
      </c>
    </row>
    <row r="624" customFormat="false" ht="15" hidden="false" customHeight="true" outlineLevel="0" collapsed="false">
      <c r="A624" s="24"/>
      <c r="B624" s="20" t="s">
        <v>487</v>
      </c>
      <c r="C624" s="37" t="s">
        <v>488</v>
      </c>
      <c r="D624" s="37" t="s">
        <v>540</v>
      </c>
      <c r="E624" s="84" t="n">
        <v>0.25</v>
      </c>
      <c r="F624" s="21" t="n">
        <f aca="false">INDEX('Perhitungan Upah'!$C$5:$C$13,MATCH(C624,'Perhitungan Upah'!$B$5:$B$13,0))</f>
        <v>130500</v>
      </c>
      <c r="G624" s="21" t="n">
        <f aca="false">E624*F624</f>
        <v>32625</v>
      </c>
      <c r="H624" s="85" t="s">
        <v>198</v>
      </c>
      <c r="I624" s="85" t="s">
        <v>196</v>
      </c>
      <c r="J624" s="85" t="s">
        <v>541</v>
      </c>
      <c r="K624" s="86" t="n">
        <f aca="false">$K$621</f>
        <v>10</v>
      </c>
      <c r="L624" s="86" t="n">
        <f aca="false">E624*K624</f>
        <v>2.5</v>
      </c>
    </row>
    <row r="625" customFormat="false" ht="15" hidden="false" customHeight="true" outlineLevel="0" collapsed="false">
      <c r="A625" s="87"/>
      <c r="B625" s="88" t="s">
        <v>542</v>
      </c>
      <c r="C625" s="87"/>
      <c r="D625" s="87"/>
      <c r="E625" s="87"/>
      <c r="F625" s="87"/>
      <c r="G625" s="89" t="n">
        <f aca="false">SUM(G623:G624)</f>
        <v>96605</v>
      </c>
      <c r="H625" s="24"/>
      <c r="I625" s="24"/>
      <c r="J625" s="24"/>
      <c r="K625" s="24"/>
      <c r="L625" s="24"/>
    </row>
    <row r="626" customFormat="false" ht="15" hidden="false" customHeight="true" outlineLevel="0" collapsed="false">
      <c r="A626" s="83" t="s">
        <v>543</v>
      </c>
      <c r="B626" s="25" t="s">
        <v>544</v>
      </c>
      <c r="C626" s="24"/>
      <c r="D626" s="24"/>
      <c r="E626" s="24"/>
      <c r="F626" s="24"/>
      <c r="G626" s="24"/>
      <c r="H626" s="24"/>
      <c r="I626" s="24"/>
      <c r="J626" s="24"/>
      <c r="K626" s="24"/>
      <c r="L626" s="24"/>
    </row>
    <row r="627" customFormat="false" ht="15" hidden="false" customHeight="true" outlineLevel="0" collapsed="false">
      <c r="A627" s="24"/>
      <c r="B627" s="20" t="s">
        <v>410</v>
      </c>
      <c r="C627" s="37" t="s">
        <v>409</v>
      </c>
      <c r="D627" s="37" t="s">
        <v>400</v>
      </c>
      <c r="E627" s="84" t="n">
        <v>8.8</v>
      </c>
      <c r="F627" s="21" t="n">
        <f aca="false">VLOOKUP(C627,'Perhitungan Bahan'!$A$5:$J$61,10,FALSE())</f>
        <v>11500</v>
      </c>
      <c r="G627" s="21" t="n">
        <f aca="false">E627*F627</f>
        <v>101200</v>
      </c>
      <c r="H627" s="85" t="s">
        <v>198</v>
      </c>
      <c r="I627" s="85" t="s">
        <v>196</v>
      </c>
      <c r="J627" s="85" t="s">
        <v>282</v>
      </c>
      <c r="K627" s="86" t="n">
        <f aca="false">$K$621</f>
        <v>10</v>
      </c>
      <c r="L627" s="86" t="n">
        <f aca="false">E627*K627</f>
        <v>88</v>
      </c>
    </row>
    <row r="628" customFormat="false" ht="15" hidden="false" customHeight="true" outlineLevel="0" collapsed="false">
      <c r="A628" s="24"/>
      <c r="B628" s="20" t="s">
        <v>415</v>
      </c>
      <c r="C628" s="37" t="s">
        <v>414</v>
      </c>
      <c r="D628" s="37" t="s">
        <v>400</v>
      </c>
      <c r="E628" s="84" t="n">
        <v>8.8</v>
      </c>
      <c r="F628" s="21" t="n">
        <f aca="false">VLOOKUP(C628,'Perhitungan Bahan'!$A$5:$J$61,10,FALSE())</f>
        <v>4000</v>
      </c>
      <c r="G628" s="21" t="n">
        <f aca="false">E628*F628</f>
        <v>35200</v>
      </c>
      <c r="H628" s="85" t="s">
        <v>198</v>
      </c>
      <c r="I628" s="85" t="s">
        <v>196</v>
      </c>
      <c r="J628" s="85" t="s">
        <v>282</v>
      </c>
      <c r="K628" s="86" t="n">
        <f aca="false">$K$621</f>
        <v>10</v>
      </c>
      <c r="L628" s="86" t="n">
        <f aca="false">E628*K628</f>
        <v>88</v>
      </c>
    </row>
    <row r="629" customFormat="false" ht="15" hidden="false" customHeight="true" outlineLevel="0" collapsed="false">
      <c r="A629" s="24"/>
      <c r="B629" s="20" t="s">
        <v>421</v>
      </c>
      <c r="C629" s="37" t="s">
        <v>420</v>
      </c>
      <c r="D629" s="37" t="s">
        <v>181</v>
      </c>
      <c r="E629" s="84" t="n">
        <v>1</v>
      </c>
      <c r="F629" s="21" t="n">
        <f aca="false">VLOOKUP(C629,'Perhitungan Bahan'!$A$5:$J$61,10,FALSE())</f>
        <v>90000</v>
      </c>
      <c r="G629" s="21" t="n">
        <f aca="false">E629*F629</f>
        <v>90000</v>
      </c>
      <c r="H629" s="85" t="s">
        <v>198</v>
      </c>
      <c r="I629" s="85" t="s">
        <v>196</v>
      </c>
      <c r="J629" s="85" t="s">
        <v>282</v>
      </c>
      <c r="K629" s="86" t="n">
        <f aca="false">$K$621</f>
        <v>10</v>
      </c>
      <c r="L629" s="86" t="n">
        <f aca="false">E629*K629</f>
        <v>10</v>
      </c>
    </row>
    <row r="630" customFormat="false" ht="15" hidden="false" customHeight="true" outlineLevel="0" collapsed="false">
      <c r="A630" s="87"/>
      <c r="B630" s="88" t="s">
        <v>71</v>
      </c>
      <c r="C630" s="87"/>
      <c r="D630" s="87"/>
      <c r="E630" s="87"/>
      <c r="F630" s="87"/>
      <c r="G630" s="89" t="n">
        <f aca="false">SUM(G627:G629)</f>
        <v>226400</v>
      </c>
      <c r="H630" s="24"/>
      <c r="I630" s="24"/>
      <c r="J630" s="24"/>
      <c r="K630" s="24"/>
      <c r="L630" s="24"/>
    </row>
    <row r="631" customFormat="false" ht="15" hidden="false" customHeight="true" outlineLevel="0" collapsed="false">
      <c r="A631" s="90" t="s">
        <v>545</v>
      </c>
      <c r="B631" s="91" t="s">
        <v>546</v>
      </c>
      <c r="C631" s="92"/>
      <c r="D631" s="92"/>
      <c r="E631" s="92"/>
      <c r="F631" s="92"/>
      <c r="G631" s="93" t="n">
        <f aca="false">G625+G630</f>
        <v>323005</v>
      </c>
      <c r="H631" s="24"/>
      <c r="I631" s="24"/>
      <c r="J631" s="24"/>
      <c r="K631" s="24"/>
      <c r="L631" s="24"/>
    </row>
    <row r="632" customFormat="false" ht="15" hidden="false" customHeight="true" outlineLevel="0" collapsed="false">
      <c r="A632" s="37" t="s">
        <v>547</v>
      </c>
      <c r="B632" s="20" t="s">
        <v>548</v>
      </c>
      <c r="C632" s="24"/>
      <c r="D632" s="24"/>
      <c r="E632" s="94" t="n">
        <f aca="false">Parameter!$B$4</f>
        <v>0.15</v>
      </c>
      <c r="F632" s="24"/>
      <c r="G632" s="21" t="n">
        <f aca="false">G631*E632</f>
        <v>48450.75</v>
      </c>
      <c r="H632" s="24"/>
      <c r="I632" s="24"/>
      <c r="J632" s="24"/>
      <c r="K632" s="24"/>
      <c r="L632" s="24"/>
    </row>
    <row r="633" customFormat="false" ht="15" hidden="false" customHeight="true" outlineLevel="0" collapsed="false">
      <c r="A633" s="95" t="s">
        <v>549</v>
      </c>
      <c r="B633" s="96" t="s">
        <v>550</v>
      </c>
      <c r="C633" s="97"/>
      <c r="D633" s="97"/>
      <c r="E633" s="97"/>
      <c r="F633" s="97"/>
      <c r="G633" s="98" t="n">
        <f aca="false">G631+G632</f>
        <v>371455.75</v>
      </c>
      <c r="H633" s="24"/>
      <c r="I633" s="24"/>
      <c r="J633" s="24"/>
      <c r="K633" s="24"/>
      <c r="L633" s="24"/>
    </row>
    <row r="635" customFormat="false" ht="23.25" hidden="false" customHeight="true" outlineLevel="0" collapsed="false">
      <c r="A635" s="35" t="s">
        <v>201</v>
      </c>
      <c r="B635" s="35" t="s">
        <v>598</v>
      </c>
      <c r="C635" s="35"/>
      <c r="D635" s="35"/>
      <c r="E635" s="35"/>
      <c r="F635" s="35"/>
      <c r="G635" s="35"/>
      <c r="H635" s="35"/>
      <c r="I635" s="35"/>
      <c r="J635" s="81" t="s">
        <v>537</v>
      </c>
      <c r="K635" s="82" t="n">
        <v>14</v>
      </c>
      <c r="L635" s="35"/>
    </row>
    <row r="636" customFormat="false" ht="15" hidden="false" customHeight="true" outlineLevel="0" collapsed="false">
      <c r="A636" s="83" t="s">
        <v>538</v>
      </c>
      <c r="B636" s="25" t="s">
        <v>539</v>
      </c>
      <c r="C636" s="24"/>
      <c r="D636" s="24"/>
      <c r="E636" s="24"/>
      <c r="F636" s="24"/>
      <c r="G636" s="24"/>
      <c r="H636" s="24"/>
      <c r="I636" s="24"/>
      <c r="J636" s="24"/>
      <c r="K636" s="24"/>
      <c r="L636" s="24"/>
    </row>
    <row r="637" customFormat="false" ht="15" hidden="false" customHeight="true" outlineLevel="0" collapsed="false">
      <c r="A637" s="24"/>
      <c r="B637" s="20" t="s">
        <v>498</v>
      </c>
      <c r="C637" s="37" t="s">
        <v>499</v>
      </c>
      <c r="D637" s="37" t="s">
        <v>540</v>
      </c>
      <c r="E637" s="84" t="n">
        <v>0.35</v>
      </c>
      <c r="F637" s="21" t="n">
        <f aca="false">INDEX('Perhitungan Upah'!$C$5:$C$13,MATCH(C637,'Perhitungan Upah'!$B$5:$B$13,0))</f>
        <v>182800</v>
      </c>
      <c r="G637" s="21" t="n">
        <f aca="false">E637*F637</f>
        <v>63980</v>
      </c>
      <c r="H637" s="85" t="s">
        <v>201</v>
      </c>
      <c r="I637" s="85" t="s">
        <v>196</v>
      </c>
      <c r="J637" s="85" t="s">
        <v>541</v>
      </c>
      <c r="K637" s="86" t="n">
        <f aca="false">$K$635</f>
        <v>14</v>
      </c>
      <c r="L637" s="86" t="n">
        <f aca="false">E637*K637</f>
        <v>4.9</v>
      </c>
    </row>
    <row r="638" customFormat="false" ht="15" hidden="false" customHeight="true" outlineLevel="0" collapsed="false">
      <c r="A638" s="24"/>
      <c r="B638" s="20" t="s">
        <v>487</v>
      </c>
      <c r="C638" s="37" t="s">
        <v>488</v>
      </c>
      <c r="D638" s="37" t="s">
        <v>540</v>
      </c>
      <c r="E638" s="84" t="n">
        <v>0.25</v>
      </c>
      <c r="F638" s="21" t="n">
        <f aca="false">INDEX('Perhitungan Upah'!$C$5:$C$13,MATCH(C638,'Perhitungan Upah'!$B$5:$B$13,0))</f>
        <v>130500</v>
      </c>
      <c r="G638" s="21" t="n">
        <f aca="false">E638*F638</f>
        <v>32625</v>
      </c>
      <c r="H638" s="85" t="s">
        <v>201</v>
      </c>
      <c r="I638" s="85" t="s">
        <v>196</v>
      </c>
      <c r="J638" s="85" t="s">
        <v>541</v>
      </c>
      <c r="K638" s="86" t="n">
        <f aca="false">$K$635</f>
        <v>14</v>
      </c>
      <c r="L638" s="86" t="n">
        <f aca="false">E638*K638</f>
        <v>3.5</v>
      </c>
    </row>
    <row r="639" customFormat="false" ht="15" hidden="false" customHeight="true" outlineLevel="0" collapsed="false">
      <c r="A639" s="87"/>
      <c r="B639" s="88" t="s">
        <v>542</v>
      </c>
      <c r="C639" s="87"/>
      <c r="D639" s="87"/>
      <c r="E639" s="87"/>
      <c r="F639" s="87"/>
      <c r="G639" s="89" t="n">
        <f aca="false">SUM(G637:G638)</f>
        <v>96605</v>
      </c>
      <c r="H639" s="24"/>
      <c r="I639" s="24"/>
      <c r="J639" s="24"/>
      <c r="K639" s="24"/>
      <c r="L639" s="24"/>
    </row>
    <row r="640" customFormat="false" ht="15" hidden="false" customHeight="true" outlineLevel="0" collapsed="false">
      <c r="A640" s="83" t="s">
        <v>543</v>
      </c>
      <c r="B640" s="25" t="s">
        <v>544</v>
      </c>
      <c r="C640" s="24"/>
      <c r="D640" s="24"/>
      <c r="E640" s="24"/>
      <c r="F640" s="24"/>
      <c r="G640" s="24"/>
      <c r="H640" s="24"/>
      <c r="I640" s="24"/>
      <c r="J640" s="24"/>
      <c r="K640" s="24"/>
      <c r="L640" s="24"/>
    </row>
    <row r="641" customFormat="false" ht="15" hidden="false" customHeight="true" outlineLevel="0" collapsed="false">
      <c r="A641" s="24"/>
      <c r="B641" s="20" t="s">
        <v>413</v>
      </c>
      <c r="C641" s="37" t="s">
        <v>412</v>
      </c>
      <c r="D641" s="37" t="s">
        <v>400</v>
      </c>
      <c r="E641" s="84" t="n">
        <v>5.5</v>
      </c>
      <c r="F641" s="21" t="n">
        <f aca="false">VLOOKUP(C641,'Perhitungan Bahan'!$A$5:$J$61,10,FALSE())</f>
        <v>27000</v>
      </c>
      <c r="G641" s="21" t="n">
        <f aca="false">E641*F641</f>
        <v>148500</v>
      </c>
      <c r="H641" s="85" t="s">
        <v>201</v>
      </c>
      <c r="I641" s="85" t="s">
        <v>196</v>
      </c>
      <c r="J641" s="85" t="s">
        <v>282</v>
      </c>
      <c r="K641" s="86" t="n">
        <f aca="false">$K$635</f>
        <v>14</v>
      </c>
      <c r="L641" s="86" t="n">
        <f aca="false">E641*K641</f>
        <v>77</v>
      </c>
    </row>
    <row r="642" customFormat="false" ht="15" hidden="false" customHeight="true" outlineLevel="0" collapsed="false">
      <c r="A642" s="24"/>
      <c r="B642" s="20" t="s">
        <v>410</v>
      </c>
      <c r="C642" s="37" t="s">
        <v>409</v>
      </c>
      <c r="D642" s="37" t="s">
        <v>400</v>
      </c>
      <c r="E642" s="84" t="n">
        <v>2.75</v>
      </c>
      <c r="F642" s="21" t="n">
        <f aca="false">VLOOKUP(C642,'Perhitungan Bahan'!$A$5:$J$61,10,FALSE())</f>
        <v>11500</v>
      </c>
      <c r="G642" s="21" t="n">
        <f aca="false">E642*F642</f>
        <v>31625</v>
      </c>
      <c r="H642" s="85" t="s">
        <v>201</v>
      </c>
      <c r="I642" s="85" t="s">
        <v>196</v>
      </c>
      <c r="J642" s="85" t="s">
        <v>282</v>
      </c>
      <c r="K642" s="86" t="n">
        <f aca="false">$K$635</f>
        <v>14</v>
      </c>
      <c r="L642" s="86" t="n">
        <f aca="false">E642*K642</f>
        <v>38.5</v>
      </c>
    </row>
    <row r="643" customFormat="false" ht="15" hidden="false" customHeight="true" outlineLevel="0" collapsed="false">
      <c r="A643" s="24"/>
      <c r="B643" s="20" t="s">
        <v>415</v>
      </c>
      <c r="C643" s="37" t="s">
        <v>414</v>
      </c>
      <c r="D643" s="37" t="s">
        <v>400</v>
      </c>
      <c r="E643" s="84" t="n">
        <v>8.25</v>
      </c>
      <c r="F643" s="21" t="n">
        <f aca="false">VLOOKUP(C643,'Perhitungan Bahan'!$A$5:$J$61,10,FALSE())</f>
        <v>4000</v>
      </c>
      <c r="G643" s="21" t="n">
        <f aca="false">E643*F643</f>
        <v>33000</v>
      </c>
      <c r="H643" s="85" t="s">
        <v>201</v>
      </c>
      <c r="I643" s="85" t="s">
        <v>196</v>
      </c>
      <c r="J643" s="85" t="s">
        <v>282</v>
      </c>
      <c r="K643" s="86" t="n">
        <f aca="false">$K$635</f>
        <v>14</v>
      </c>
      <c r="L643" s="86" t="n">
        <f aca="false">E643*K643</f>
        <v>115.5</v>
      </c>
    </row>
    <row r="644" customFormat="false" ht="15" hidden="false" customHeight="true" outlineLevel="0" collapsed="false">
      <c r="A644" s="24"/>
      <c r="B644" s="20" t="s">
        <v>418</v>
      </c>
      <c r="C644" s="37" t="s">
        <v>417</v>
      </c>
      <c r="D644" s="37" t="s">
        <v>181</v>
      </c>
      <c r="E644" s="84" t="n">
        <v>1</v>
      </c>
      <c r="F644" s="21" t="n">
        <f aca="false">VLOOKUP(C644,'Perhitungan Bahan'!$A$5:$J$61,10,FALSE())</f>
        <v>35000</v>
      </c>
      <c r="G644" s="21" t="n">
        <f aca="false">E644*F644</f>
        <v>35000</v>
      </c>
      <c r="H644" s="85" t="s">
        <v>201</v>
      </c>
      <c r="I644" s="85" t="s">
        <v>196</v>
      </c>
      <c r="J644" s="85" t="s">
        <v>282</v>
      </c>
      <c r="K644" s="86" t="n">
        <f aca="false">$K$635</f>
        <v>14</v>
      </c>
      <c r="L644" s="86" t="n">
        <f aca="false">E644*K644</f>
        <v>14</v>
      </c>
    </row>
    <row r="645" customFormat="false" ht="15" hidden="false" customHeight="true" outlineLevel="0" collapsed="false">
      <c r="A645" s="87"/>
      <c r="B645" s="88" t="s">
        <v>71</v>
      </c>
      <c r="C645" s="87"/>
      <c r="D645" s="87"/>
      <c r="E645" s="87"/>
      <c r="F645" s="87"/>
      <c r="G645" s="89" t="n">
        <f aca="false">SUM(G641:G644)</f>
        <v>248125</v>
      </c>
      <c r="H645" s="24"/>
      <c r="I645" s="24"/>
      <c r="J645" s="24"/>
      <c r="K645" s="24"/>
      <c r="L645" s="24"/>
    </row>
    <row r="646" customFormat="false" ht="15" hidden="false" customHeight="true" outlineLevel="0" collapsed="false">
      <c r="A646" s="90" t="s">
        <v>545</v>
      </c>
      <c r="B646" s="91" t="s">
        <v>546</v>
      </c>
      <c r="C646" s="92"/>
      <c r="D646" s="92"/>
      <c r="E646" s="92"/>
      <c r="F646" s="92"/>
      <c r="G646" s="93" t="n">
        <f aca="false">G639+G645</f>
        <v>344730</v>
      </c>
      <c r="H646" s="24"/>
      <c r="I646" s="24"/>
      <c r="J646" s="24"/>
      <c r="K646" s="24"/>
      <c r="L646" s="24"/>
    </row>
    <row r="647" customFormat="false" ht="15" hidden="false" customHeight="true" outlineLevel="0" collapsed="false">
      <c r="A647" s="37" t="s">
        <v>547</v>
      </c>
      <c r="B647" s="20" t="s">
        <v>548</v>
      </c>
      <c r="C647" s="24"/>
      <c r="D647" s="24"/>
      <c r="E647" s="94" t="n">
        <f aca="false">Parameter!$B$4</f>
        <v>0.15</v>
      </c>
      <c r="F647" s="24"/>
      <c r="G647" s="21" t="n">
        <f aca="false">G646*E647</f>
        <v>51709.5</v>
      </c>
      <c r="H647" s="24"/>
      <c r="I647" s="24"/>
      <c r="J647" s="24"/>
      <c r="K647" s="24"/>
      <c r="L647" s="24"/>
    </row>
    <row r="648" customFormat="false" ht="15" hidden="false" customHeight="true" outlineLevel="0" collapsed="false">
      <c r="A648" s="95" t="s">
        <v>549</v>
      </c>
      <c r="B648" s="96" t="s">
        <v>550</v>
      </c>
      <c r="C648" s="97"/>
      <c r="D648" s="97"/>
      <c r="E648" s="97"/>
      <c r="F648" s="97"/>
      <c r="G648" s="98" t="n">
        <f aca="false">G646+G647</f>
        <v>396439.5</v>
      </c>
      <c r="H648" s="24"/>
      <c r="I648" s="24"/>
      <c r="J648" s="24"/>
      <c r="K648" s="24"/>
      <c r="L648" s="24"/>
    </row>
    <row r="650" customFormat="false" ht="23.25" hidden="false" customHeight="true" outlineLevel="0" collapsed="false">
      <c r="A650" s="35" t="s">
        <v>203</v>
      </c>
      <c r="B650" s="35" t="s">
        <v>599</v>
      </c>
      <c r="C650" s="35"/>
      <c r="D650" s="35"/>
      <c r="E650" s="35"/>
      <c r="F650" s="35"/>
      <c r="G650" s="35"/>
      <c r="H650" s="35"/>
      <c r="I650" s="35"/>
      <c r="J650" s="81" t="s">
        <v>537</v>
      </c>
      <c r="K650" s="82" t="n">
        <v>1</v>
      </c>
      <c r="L650" s="35"/>
    </row>
    <row r="651" customFormat="false" ht="15" hidden="false" customHeight="true" outlineLevel="0" collapsed="false">
      <c r="A651" s="83" t="s">
        <v>538</v>
      </c>
      <c r="B651" s="25" t="s">
        <v>539</v>
      </c>
      <c r="C651" s="24"/>
      <c r="D651" s="24"/>
      <c r="E651" s="24"/>
      <c r="F651" s="24"/>
      <c r="G651" s="24"/>
      <c r="H651" s="24"/>
      <c r="I651" s="24"/>
      <c r="J651" s="24"/>
      <c r="K651" s="24"/>
      <c r="L651" s="24"/>
    </row>
    <row r="652" customFormat="false" ht="15" hidden="false" customHeight="true" outlineLevel="0" collapsed="false">
      <c r="A652" s="24"/>
      <c r="B652" s="20" t="s">
        <v>498</v>
      </c>
      <c r="C652" s="37" t="s">
        <v>499</v>
      </c>
      <c r="D652" s="37" t="s">
        <v>540</v>
      </c>
      <c r="E652" s="84" t="n">
        <v>0.5</v>
      </c>
      <c r="F652" s="21" t="n">
        <f aca="false">INDEX('Perhitungan Upah'!$C$5:$C$13,MATCH(C652,'Perhitungan Upah'!$B$5:$B$13,0))</f>
        <v>182800</v>
      </c>
      <c r="G652" s="21" t="n">
        <f aca="false">E652*F652</f>
        <v>91400</v>
      </c>
      <c r="H652" s="85" t="s">
        <v>203</v>
      </c>
      <c r="I652" s="85" t="s">
        <v>196</v>
      </c>
      <c r="J652" s="85" t="s">
        <v>541</v>
      </c>
      <c r="K652" s="86" t="n">
        <f aca="false">$K$650</f>
        <v>1</v>
      </c>
      <c r="L652" s="86" t="n">
        <f aca="false">E652*K652</f>
        <v>0.5</v>
      </c>
    </row>
    <row r="653" customFormat="false" ht="15" hidden="false" customHeight="true" outlineLevel="0" collapsed="false">
      <c r="A653" s="87"/>
      <c r="B653" s="88" t="s">
        <v>542</v>
      </c>
      <c r="C653" s="87"/>
      <c r="D653" s="87"/>
      <c r="E653" s="87"/>
      <c r="F653" s="87"/>
      <c r="G653" s="89" t="n">
        <f aca="false">SUM(G652:G652)</f>
        <v>91400</v>
      </c>
      <c r="H653" s="24"/>
      <c r="I653" s="24"/>
      <c r="J653" s="24"/>
      <c r="K653" s="24"/>
      <c r="L653" s="24"/>
    </row>
    <row r="654" customFormat="false" ht="15" hidden="false" customHeight="true" outlineLevel="0" collapsed="false">
      <c r="A654" s="83" t="s">
        <v>543</v>
      </c>
      <c r="B654" s="25" t="s">
        <v>544</v>
      </c>
      <c r="C654" s="24"/>
      <c r="D654" s="24"/>
      <c r="E654" s="24"/>
      <c r="F654" s="24"/>
      <c r="G654" s="24"/>
      <c r="H654" s="24"/>
      <c r="I654" s="24"/>
      <c r="J654" s="24"/>
      <c r="K654" s="24"/>
      <c r="L654" s="24"/>
    </row>
    <row r="655" customFormat="false" ht="15" hidden="false" customHeight="true" outlineLevel="0" collapsed="false">
      <c r="A655" s="24"/>
      <c r="B655" s="20" t="s">
        <v>204</v>
      </c>
      <c r="C655" s="37" t="s">
        <v>422</v>
      </c>
      <c r="D655" s="37" t="s">
        <v>175</v>
      </c>
      <c r="E655" s="84" t="n">
        <v>1</v>
      </c>
      <c r="F655" s="21" t="n">
        <f aca="false">VLOOKUP(C655,'Perhitungan Bahan'!$A$5:$J$61,10,FALSE())</f>
        <v>700000</v>
      </c>
      <c r="G655" s="21" t="n">
        <f aca="false">E655*F655</f>
        <v>700000</v>
      </c>
      <c r="H655" s="85" t="s">
        <v>203</v>
      </c>
      <c r="I655" s="85" t="s">
        <v>196</v>
      </c>
      <c r="J655" s="85" t="s">
        <v>282</v>
      </c>
      <c r="K655" s="86" t="n">
        <f aca="false">$K$650</f>
        <v>1</v>
      </c>
      <c r="L655" s="86" t="n">
        <f aca="false">E655*K655</f>
        <v>1</v>
      </c>
    </row>
    <row r="656" customFormat="false" ht="15" hidden="false" customHeight="true" outlineLevel="0" collapsed="false">
      <c r="A656" s="87"/>
      <c r="B656" s="88" t="s">
        <v>71</v>
      </c>
      <c r="C656" s="87"/>
      <c r="D656" s="87"/>
      <c r="E656" s="87"/>
      <c r="F656" s="87"/>
      <c r="G656" s="89" t="n">
        <f aca="false">SUM(G655:G655)</f>
        <v>700000</v>
      </c>
      <c r="H656" s="24"/>
      <c r="I656" s="24"/>
      <c r="J656" s="24"/>
      <c r="K656" s="24"/>
      <c r="L656" s="24"/>
    </row>
    <row r="657" customFormat="false" ht="15" hidden="false" customHeight="true" outlineLevel="0" collapsed="false">
      <c r="A657" s="90" t="s">
        <v>545</v>
      </c>
      <c r="B657" s="91" t="s">
        <v>546</v>
      </c>
      <c r="C657" s="92"/>
      <c r="D657" s="92"/>
      <c r="E657" s="92"/>
      <c r="F657" s="92"/>
      <c r="G657" s="93" t="n">
        <f aca="false">G653+G656</f>
        <v>791400</v>
      </c>
      <c r="H657" s="24"/>
      <c r="I657" s="24"/>
      <c r="J657" s="24"/>
      <c r="K657" s="24"/>
      <c r="L657" s="24"/>
    </row>
    <row r="658" customFormat="false" ht="15" hidden="false" customHeight="true" outlineLevel="0" collapsed="false">
      <c r="A658" s="37" t="s">
        <v>547</v>
      </c>
      <c r="B658" s="20" t="s">
        <v>548</v>
      </c>
      <c r="C658" s="24"/>
      <c r="D658" s="24"/>
      <c r="E658" s="94" t="n">
        <f aca="false">Parameter!$B$4</f>
        <v>0.15</v>
      </c>
      <c r="F658" s="24"/>
      <c r="G658" s="21" t="n">
        <f aca="false">G657*E658</f>
        <v>118710</v>
      </c>
      <c r="H658" s="24"/>
      <c r="I658" s="24"/>
      <c r="J658" s="24"/>
      <c r="K658" s="24"/>
      <c r="L658" s="24"/>
    </row>
    <row r="659" customFormat="false" ht="15" hidden="false" customHeight="true" outlineLevel="0" collapsed="false">
      <c r="A659" s="95" t="s">
        <v>549</v>
      </c>
      <c r="B659" s="96" t="s">
        <v>550</v>
      </c>
      <c r="C659" s="97"/>
      <c r="D659" s="97"/>
      <c r="E659" s="97"/>
      <c r="F659" s="97"/>
      <c r="G659" s="98" t="n">
        <f aca="false">G657+G658</f>
        <v>910110</v>
      </c>
      <c r="H659" s="24"/>
      <c r="I659" s="24"/>
      <c r="J659" s="24"/>
      <c r="K659" s="24"/>
      <c r="L659" s="24"/>
    </row>
    <row r="661" customFormat="false" ht="23.25" hidden="false" customHeight="true" outlineLevel="0" collapsed="false">
      <c r="A661" s="35" t="s">
        <v>207</v>
      </c>
      <c r="B661" s="35" t="s">
        <v>600</v>
      </c>
      <c r="C661" s="35"/>
      <c r="D661" s="35"/>
      <c r="E661" s="35"/>
      <c r="F661" s="35"/>
      <c r="G661" s="35"/>
      <c r="H661" s="35"/>
      <c r="I661" s="35"/>
      <c r="J661" s="81" t="s">
        <v>537</v>
      </c>
      <c r="K661" s="82" t="n">
        <v>1</v>
      </c>
      <c r="L661" s="35"/>
    </row>
    <row r="662" customFormat="false" ht="15" hidden="false" customHeight="true" outlineLevel="0" collapsed="false">
      <c r="A662" s="83" t="s">
        <v>538</v>
      </c>
      <c r="B662" s="25" t="s">
        <v>539</v>
      </c>
      <c r="C662" s="24"/>
      <c r="D662" s="24"/>
      <c r="E662" s="24"/>
      <c r="F662" s="24"/>
      <c r="G662" s="24"/>
      <c r="H662" s="24"/>
      <c r="I662" s="24"/>
      <c r="J662" s="24"/>
      <c r="K662" s="24"/>
      <c r="L662" s="24"/>
    </row>
    <row r="663" customFormat="false" ht="15" hidden="false" customHeight="true" outlineLevel="0" collapsed="false">
      <c r="A663" s="24"/>
      <c r="B663" s="20" t="s">
        <v>490</v>
      </c>
      <c r="C663" s="37" t="s">
        <v>491</v>
      </c>
      <c r="D663" s="37" t="s">
        <v>540</v>
      </c>
      <c r="E663" s="84" t="n">
        <v>4</v>
      </c>
      <c r="F663" s="21" t="n">
        <f aca="false">INDEX('Perhitungan Upah'!$C$5:$C$13,MATCH(C663,'Perhitungan Upah'!$B$5:$B$13,0))</f>
        <v>175300</v>
      </c>
      <c r="G663" s="21" t="n">
        <f aca="false">E663*F663</f>
        <v>701200</v>
      </c>
      <c r="H663" s="85" t="s">
        <v>207</v>
      </c>
      <c r="I663" s="85" t="s">
        <v>205</v>
      </c>
      <c r="J663" s="85" t="s">
        <v>541</v>
      </c>
      <c r="K663" s="86" t="n">
        <f aca="false">$K$661</f>
        <v>1</v>
      </c>
      <c r="L663" s="86" t="n">
        <f aca="false">E663*K663</f>
        <v>4</v>
      </c>
    </row>
    <row r="664" customFormat="false" ht="15" hidden="false" customHeight="true" outlineLevel="0" collapsed="false">
      <c r="A664" s="24"/>
      <c r="B664" s="20" t="s">
        <v>487</v>
      </c>
      <c r="C664" s="37" t="s">
        <v>488</v>
      </c>
      <c r="D664" s="37" t="s">
        <v>540</v>
      </c>
      <c r="E664" s="84" t="n">
        <v>3</v>
      </c>
      <c r="F664" s="21" t="n">
        <f aca="false">INDEX('Perhitungan Upah'!$C$5:$C$13,MATCH(C664,'Perhitungan Upah'!$B$5:$B$13,0))</f>
        <v>130500</v>
      </c>
      <c r="G664" s="21" t="n">
        <f aca="false">E664*F664</f>
        <v>391500</v>
      </c>
      <c r="H664" s="85" t="s">
        <v>207</v>
      </c>
      <c r="I664" s="85" t="s">
        <v>205</v>
      </c>
      <c r="J664" s="85" t="s">
        <v>541</v>
      </c>
      <c r="K664" s="86" t="n">
        <f aca="false">$K$661</f>
        <v>1</v>
      </c>
      <c r="L664" s="86" t="n">
        <f aca="false">E664*K664</f>
        <v>3</v>
      </c>
    </row>
    <row r="665" customFormat="false" ht="15" hidden="false" customHeight="true" outlineLevel="0" collapsed="false">
      <c r="A665" s="87"/>
      <c r="B665" s="88" t="s">
        <v>542</v>
      </c>
      <c r="C665" s="87"/>
      <c r="D665" s="87"/>
      <c r="E665" s="87"/>
      <c r="F665" s="87"/>
      <c r="G665" s="89" t="n">
        <f aca="false">SUM(G663:G664)</f>
        <v>1092700</v>
      </c>
      <c r="H665" s="24"/>
      <c r="I665" s="24"/>
      <c r="J665" s="24"/>
      <c r="K665" s="24"/>
      <c r="L665" s="24"/>
    </row>
    <row r="666" customFormat="false" ht="15" hidden="false" customHeight="true" outlineLevel="0" collapsed="false">
      <c r="A666" s="83" t="s">
        <v>543</v>
      </c>
      <c r="B666" s="25" t="s">
        <v>544</v>
      </c>
      <c r="C666" s="24"/>
      <c r="D666" s="24"/>
      <c r="E666" s="24"/>
      <c r="F666" s="24"/>
      <c r="G666" s="24"/>
      <c r="H666" s="24"/>
      <c r="I666" s="24"/>
      <c r="J666" s="24"/>
      <c r="K666" s="24"/>
      <c r="L666" s="24"/>
    </row>
    <row r="667" customFormat="false" ht="15" hidden="false" customHeight="true" outlineLevel="0" collapsed="false">
      <c r="A667" s="24"/>
      <c r="B667" s="20" t="s">
        <v>449</v>
      </c>
      <c r="C667" s="37" t="s">
        <v>448</v>
      </c>
      <c r="D667" s="37" t="s">
        <v>451</v>
      </c>
      <c r="E667" s="84" t="n">
        <v>1</v>
      </c>
      <c r="F667" s="21" t="n">
        <f aca="false">VLOOKUP(C667,'Perhitungan Bahan'!$A$5:$J$61,10,FALSE())</f>
        <v>2500000</v>
      </c>
      <c r="G667" s="21" t="n">
        <f aca="false">E667*F667</f>
        <v>2500000</v>
      </c>
      <c r="H667" s="85" t="s">
        <v>207</v>
      </c>
      <c r="I667" s="85" t="s">
        <v>205</v>
      </c>
      <c r="J667" s="85" t="s">
        <v>282</v>
      </c>
      <c r="K667" s="86" t="n">
        <f aca="false">$K$661</f>
        <v>1</v>
      </c>
      <c r="L667" s="86" t="n">
        <f aca="false">E667*K667</f>
        <v>1</v>
      </c>
    </row>
    <row r="668" customFormat="false" ht="15" hidden="false" customHeight="true" outlineLevel="0" collapsed="false">
      <c r="A668" s="24"/>
      <c r="B668" s="20" t="s">
        <v>453</v>
      </c>
      <c r="C668" s="37" t="s">
        <v>452</v>
      </c>
      <c r="D668" s="37" t="s">
        <v>175</v>
      </c>
      <c r="E668" s="84" t="n">
        <v>1</v>
      </c>
      <c r="F668" s="21" t="n">
        <f aca="false">VLOOKUP(C668,'Perhitungan Bahan'!$A$5:$J$61,10,FALSE())</f>
        <v>900000</v>
      </c>
      <c r="G668" s="21" t="n">
        <f aca="false">E668*F668</f>
        <v>900000</v>
      </c>
      <c r="H668" s="85" t="s">
        <v>207</v>
      </c>
      <c r="I668" s="85" t="s">
        <v>205</v>
      </c>
      <c r="J668" s="85" t="s">
        <v>282</v>
      </c>
      <c r="K668" s="86" t="n">
        <f aca="false">$K$661</f>
        <v>1</v>
      </c>
      <c r="L668" s="86" t="n">
        <f aca="false">E668*K668</f>
        <v>1</v>
      </c>
    </row>
    <row r="669" customFormat="false" ht="15" hidden="false" customHeight="true" outlineLevel="0" collapsed="false">
      <c r="A669" s="87"/>
      <c r="B669" s="88" t="s">
        <v>71</v>
      </c>
      <c r="C669" s="87"/>
      <c r="D669" s="87"/>
      <c r="E669" s="87"/>
      <c r="F669" s="87"/>
      <c r="G669" s="89" t="n">
        <f aca="false">SUM(G667:G668)</f>
        <v>3400000</v>
      </c>
      <c r="H669" s="24"/>
      <c r="I669" s="24"/>
      <c r="J669" s="24"/>
      <c r="K669" s="24"/>
      <c r="L669" s="24"/>
    </row>
    <row r="670" customFormat="false" ht="15" hidden="false" customHeight="true" outlineLevel="0" collapsed="false">
      <c r="A670" s="90" t="s">
        <v>545</v>
      </c>
      <c r="B670" s="91" t="s">
        <v>546</v>
      </c>
      <c r="C670" s="92"/>
      <c r="D670" s="92"/>
      <c r="E670" s="92"/>
      <c r="F670" s="92"/>
      <c r="G670" s="93" t="n">
        <f aca="false">G665+G669</f>
        <v>4492700</v>
      </c>
      <c r="H670" s="24"/>
      <c r="I670" s="24"/>
      <c r="J670" s="24"/>
      <c r="K670" s="24"/>
      <c r="L670" s="24"/>
    </row>
    <row r="671" customFormat="false" ht="15" hidden="false" customHeight="true" outlineLevel="0" collapsed="false">
      <c r="A671" s="37" t="s">
        <v>547</v>
      </c>
      <c r="B671" s="20" t="s">
        <v>548</v>
      </c>
      <c r="C671" s="24"/>
      <c r="D671" s="24"/>
      <c r="E671" s="94" t="n">
        <f aca="false">Parameter!$B$4</f>
        <v>0.15</v>
      </c>
      <c r="F671" s="24"/>
      <c r="G671" s="21" t="n">
        <f aca="false">G670*E671</f>
        <v>673905</v>
      </c>
      <c r="H671" s="24"/>
      <c r="I671" s="24"/>
      <c r="J671" s="24"/>
      <c r="K671" s="24"/>
      <c r="L671" s="24"/>
    </row>
    <row r="672" customFormat="false" ht="15" hidden="false" customHeight="true" outlineLevel="0" collapsed="false">
      <c r="A672" s="95" t="s">
        <v>549</v>
      </c>
      <c r="B672" s="96" t="s">
        <v>550</v>
      </c>
      <c r="C672" s="97"/>
      <c r="D672" s="97"/>
      <c r="E672" s="97"/>
      <c r="F672" s="97"/>
      <c r="G672" s="98" t="n">
        <f aca="false">G670+G671</f>
        <v>5166605</v>
      </c>
      <c r="H672" s="24"/>
      <c r="I672" s="24"/>
      <c r="J672" s="24"/>
      <c r="K672" s="24"/>
      <c r="L672" s="24"/>
    </row>
    <row r="674" customFormat="false" ht="23.25" hidden="false" customHeight="true" outlineLevel="0" collapsed="false">
      <c r="A674" s="35" t="s">
        <v>211</v>
      </c>
      <c r="B674" s="35" t="s">
        <v>601</v>
      </c>
      <c r="C674" s="35"/>
      <c r="D674" s="35"/>
      <c r="E674" s="35"/>
      <c r="F674" s="35"/>
      <c r="G674" s="35"/>
      <c r="H674" s="35"/>
      <c r="I674" s="35"/>
      <c r="J674" s="81" t="s">
        <v>537</v>
      </c>
      <c r="K674" s="82" t="n">
        <f aca="false">Volume!$B$17</f>
        <v>15</v>
      </c>
      <c r="L674" s="35"/>
    </row>
    <row r="675" customFormat="false" ht="15" hidden="false" customHeight="true" outlineLevel="0" collapsed="false">
      <c r="A675" s="83" t="s">
        <v>538</v>
      </c>
      <c r="B675" s="25" t="s">
        <v>539</v>
      </c>
      <c r="C675" s="24"/>
      <c r="D675" s="24"/>
      <c r="E675" s="24"/>
      <c r="F675" s="24"/>
      <c r="G675" s="24"/>
      <c r="H675" s="24"/>
      <c r="I675" s="24"/>
      <c r="J675" s="24"/>
      <c r="K675" s="24"/>
      <c r="L675" s="24"/>
    </row>
    <row r="676" customFormat="false" ht="15" hidden="false" customHeight="true" outlineLevel="0" collapsed="false">
      <c r="A676" s="24"/>
      <c r="B676" s="20" t="s">
        <v>487</v>
      </c>
      <c r="C676" s="37" t="s">
        <v>488</v>
      </c>
      <c r="D676" s="37" t="s">
        <v>540</v>
      </c>
      <c r="E676" s="84" t="n">
        <v>0.1167</v>
      </c>
      <c r="F676" s="21" t="n">
        <f aca="false">INDEX('Perhitungan Upah'!$C$5:$C$13,MATCH(C676,'Perhitungan Upah'!$B$5:$B$13,0))</f>
        <v>130500</v>
      </c>
      <c r="G676" s="21" t="n">
        <f aca="false">E676*F676</f>
        <v>15229.35</v>
      </c>
      <c r="H676" s="85" t="s">
        <v>211</v>
      </c>
      <c r="I676" s="85" t="s">
        <v>209</v>
      </c>
      <c r="J676" s="85" t="s">
        <v>541</v>
      </c>
      <c r="K676" s="86" t="n">
        <f aca="false">$K$674</f>
        <v>15</v>
      </c>
      <c r="L676" s="86" t="n">
        <f aca="false">E676*K676</f>
        <v>1.7505</v>
      </c>
    </row>
    <row r="677" customFormat="false" ht="15" hidden="false" customHeight="true" outlineLevel="0" collapsed="false">
      <c r="A677" s="24"/>
      <c r="B677" s="20" t="s">
        <v>490</v>
      </c>
      <c r="C677" s="37" t="s">
        <v>491</v>
      </c>
      <c r="D677" s="37" t="s">
        <v>540</v>
      </c>
      <c r="E677" s="84" t="n">
        <v>0.0149</v>
      </c>
      <c r="F677" s="21" t="n">
        <f aca="false">INDEX('Perhitungan Upah'!$C$5:$C$13,MATCH(C677,'Perhitungan Upah'!$B$5:$B$13,0))</f>
        <v>175300</v>
      </c>
      <c r="G677" s="21" t="n">
        <f aca="false">E677*F677</f>
        <v>2611.97</v>
      </c>
      <c r="H677" s="85" t="s">
        <v>211</v>
      </c>
      <c r="I677" s="85" t="s">
        <v>209</v>
      </c>
      <c r="J677" s="85" t="s">
        <v>541</v>
      </c>
      <c r="K677" s="86" t="n">
        <f aca="false">$K$674</f>
        <v>15</v>
      </c>
      <c r="L677" s="86" t="n">
        <f aca="false">E677*K677</f>
        <v>0.2235</v>
      </c>
    </row>
    <row r="678" customFormat="false" ht="15" hidden="false" customHeight="true" outlineLevel="0" collapsed="false">
      <c r="A678" s="24"/>
      <c r="B678" s="20" t="s">
        <v>502</v>
      </c>
      <c r="C678" s="37" t="s">
        <v>503</v>
      </c>
      <c r="D678" s="37" t="s">
        <v>540</v>
      </c>
      <c r="E678" s="84" t="n">
        <v>0.0043</v>
      </c>
      <c r="F678" s="21" t="n">
        <f aca="false">INDEX('Perhitungan Upah'!$C$5:$C$13,MATCH(C678,'Perhitungan Upah'!$B$5:$B$13,0))</f>
        <v>198900</v>
      </c>
      <c r="G678" s="21" t="n">
        <f aca="false">E678*F678</f>
        <v>855.27</v>
      </c>
      <c r="H678" s="85" t="s">
        <v>211</v>
      </c>
      <c r="I678" s="85" t="s">
        <v>209</v>
      </c>
      <c r="J678" s="85" t="s">
        <v>541</v>
      </c>
      <c r="K678" s="86" t="n">
        <f aca="false">$K$674</f>
        <v>15</v>
      </c>
      <c r="L678" s="86" t="n">
        <f aca="false">E678*K678</f>
        <v>0.0645</v>
      </c>
    </row>
    <row r="679" customFormat="false" ht="15" hidden="false" customHeight="true" outlineLevel="0" collapsed="false">
      <c r="A679" s="24"/>
      <c r="B679" s="20" t="s">
        <v>504</v>
      </c>
      <c r="C679" s="37" t="s">
        <v>505</v>
      </c>
      <c r="D679" s="37" t="s">
        <v>540</v>
      </c>
      <c r="E679" s="84" t="n">
        <v>0.0061</v>
      </c>
      <c r="F679" s="21" t="n">
        <f aca="false">INDEX('Perhitungan Upah'!$C$5:$C$13,MATCH(C679,'Perhitungan Upah'!$B$5:$B$13,0))</f>
        <v>228300</v>
      </c>
      <c r="G679" s="21" t="n">
        <f aca="false">E679*F679</f>
        <v>1392.63</v>
      </c>
      <c r="H679" s="85" t="s">
        <v>211</v>
      </c>
      <c r="I679" s="85" t="s">
        <v>209</v>
      </c>
      <c r="J679" s="85" t="s">
        <v>541</v>
      </c>
      <c r="K679" s="86" t="n">
        <f aca="false">$K$674</f>
        <v>15</v>
      </c>
      <c r="L679" s="86" t="n">
        <f aca="false">E679*K679</f>
        <v>0.0915</v>
      </c>
    </row>
    <row r="680" customFormat="false" ht="15" hidden="false" customHeight="true" outlineLevel="0" collapsed="false">
      <c r="A680" s="24"/>
      <c r="B680" s="20" t="s">
        <v>494</v>
      </c>
      <c r="C680" s="37" t="s">
        <v>495</v>
      </c>
      <c r="D680" s="37" t="s">
        <v>540</v>
      </c>
      <c r="E680" s="84" t="n">
        <v>0.0277</v>
      </c>
      <c r="F680" s="21" t="n">
        <f aca="false">INDEX('Perhitungan Upah'!$C$5:$C$13,MATCH(C680,'Perhitungan Upah'!$B$5:$B$13,0))</f>
        <v>174700</v>
      </c>
      <c r="G680" s="21" t="n">
        <f aca="false">E680*F680</f>
        <v>4839.19</v>
      </c>
      <c r="H680" s="85" t="s">
        <v>211</v>
      </c>
      <c r="I680" s="85" t="s">
        <v>209</v>
      </c>
      <c r="J680" s="85" t="s">
        <v>541</v>
      </c>
      <c r="K680" s="86" t="n">
        <f aca="false">$K$674</f>
        <v>15</v>
      </c>
      <c r="L680" s="86" t="n">
        <f aca="false">E680*K680</f>
        <v>0.4155</v>
      </c>
    </row>
    <row r="681" customFormat="false" ht="15" hidden="false" customHeight="true" outlineLevel="0" collapsed="false">
      <c r="A681" s="87"/>
      <c r="B681" s="88" t="s">
        <v>542</v>
      </c>
      <c r="C681" s="87"/>
      <c r="D681" s="87"/>
      <c r="E681" s="87"/>
      <c r="F681" s="87"/>
      <c r="G681" s="89" t="n">
        <f aca="false">SUM(G676:G680)</f>
        <v>24928.41</v>
      </c>
      <c r="H681" s="24"/>
      <c r="I681" s="24"/>
      <c r="J681" s="24"/>
      <c r="K681" s="24"/>
      <c r="L681" s="24"/>
    </row>
    <row r="682" customFormat="false" ht="15" hidden="false" customHeight="true" outlineLevel="0" collapsed="false">
      <c r="A682" s="83" t="s">
        <v>543</v>
      </c>
      <c r="B682" s="25" t="s">
        <v>544</v>
      </c>
      <c r="C682" s="24"/>
      <c r="D682" s="24"/>
      <c r="E682" s="24"/>
      <c r="F682" s="24"/>
      <c r="G682" s="24"/>
      <c r="H682" s="24"/>
      <c r="I682" s="24"/>
      <c r="J682" s="24"/>
      <c r="K682" s="24"/>
      <c r="L682" s="24"/>
    </row>
    <row r="683" customFormat="false" ht="15" hidden="false" customHeight="true" outlineLevel="0" collapsed="false">
      <c r="A683" s="24"/>
      <c r="B683" s="20" t="s">
        <v>297</v>
      </c>
      <c r="C683" s="37" t="s">
        <v>296</v>
      </c>
      <c r="D683" s="37" t="s">
        <v>299</v>
      </c>
      <c r="E683" s="84" t="n">
        <v>41.076</v>
      </c>
      <c r="F683" s="21" t="n">
        <f aca="false">VLOOKUP(C683,'Perhitungan Bahan'!$A$5:$J$61,10,FALSE())</f>
        <v>1575</v>
      </c>
      <c r="G683" s="21" t="n">
        <f aca="false">E683*F683</f>
        <v>64694.7</v>
      </c>
      <c r="H683" s="85" t="s">
        <v>211</v>
      </c>
      <c r="I683" s="85" t="s">
        <v>209</v>
      </c>
      <c r="J683" s="85" t="s">
        <v>282</v>
      </c>
      <c r="K683" s="86" t="n">
        <f aca="false">$K$674</f>
        <v>15</v>
      </c>
      <c r="L683" s="86" t="n">
        <f aca="false">E683*K683</f>
        <v>616.14</v>
      </c>
    </row>
    <row r="684" customFormat="false" ht="15" hidden="false" customHeight="true" outlineLevel="0" collapsed="false">
      <c r="A684" s="24"/>
      <c r="B684" s="20" t="s">
        <v>309</v>
      </c>
      <c r="C684" s="37" t="s">
        <v>308</v>
      </c>
      <c r="D684" s="37" t="s">
        <v>93</v>
      </c>
      <c r="E684" s="84" t="n">
        <v>0.07168</v>
      </c>
      <c r="F684" s="21" t="n">
        <f aca="false">VLOOKUP(C684,'Perhitungan Bahan'!$A$5:$J$61,10,FALSE())</f>
        <v>379000</v>
      </c>
      <c r="G684" s="21" t="n">
        <f aca="false">E684*F684</f>
        <v>27166.72</v>
      </c>
      <c r="H684" s="85" t="s">
        <v>211</v>
      </c>
      <c r="I684" s="85" t="s">
        <v>209</v>
      </c>
      <c r="J684" s="85" t="s">
        <v>282</v>
      </c>
      <c r="K684" s="86" t="n">
        <f aca="false">$K$674</f>
        <v>15</v>
      </c>
      <c r="L684" s="86" t="n">
        <f aca="false">E684*K684</f>
        <v>1.0752</v>
      </c>
    </row>
    <row r="685" customFormat="false" ht="15" hidden="false" customHeight="true" outlineLevel="0" collapsed="false">
      <c r="A685" s="24"/>
      <c r="B685" s="20" t="s">
        <v>312</v>
      </c>
      <c r="C685" s="37" t="s">
        <v>311</v>
      </c>
      <c r="D685" s="37" t="s">
        <v>93</v>
      </c>
      <c r="E685" s="84" t="n">
        <v>0.10085</v>
      </c>
      <c r="F685" s="21" t="n">
        <f aca="false">VLOOKUP(C685,'Perhitungan Bahan'!$A$5:$J$61,10,FALSE())</f>
        <v>385900</v>
      </c>
      <c r="G685" s="21" t="n">
        <f aca="false">E685*F685</f>
        <v>38918.015</v>
      </c>
      <c r="H685" s="85" t="s">
        <v>211</v>
      </c>
      <c r="I685" s="85" t="s">
        <v>209</v>
      </c>
      <c r="J685" s="85" t="s">
        <v>282</v>
      </c>
      <c r="K685" s="86" t="n">
        <f aca="false">$K$674</f>
        <v>15</v>
      </c>
      <c r="L685" s="86" t="n">
        <f aca="false">E685*K685</f>
        <v>1.51275</v>
      </c>
    </row>
    <row r="686" customFormat="false" ht="15" hidden="false" customHeight="true" outlineLevel="0" collapsed="false">
      <c r="A686" s="24"/>
      <c r="B686" s="20" t="s">
        <v>325</v>
      </c>
      <c r="C686" s="37" t="s">
        <v>324</v>
      </c>
      <c r="D686" s="37" t="s">
        <v>299</v>
      </c>
      <c r="E686" s="84" t="n">
        <v>4.345</v>
      </c>
      <c r="F686" s="21" t="n">
        <f aca="false">VLOOKUP(C686,'Perhitungan Bahan'!$A$5:$J$61,10,FALSE())</f>
        <v>11350.2109704641</v>
      </c>
      <c r="G686" s="21" t="n">
        <f aca="false">E686*F686</f>
        <v>49316.6666666667</v>
      </c>
      <c r="H686" s="85" t="s">
        <v>211</v>
      </c>
      <c r="I686" s="85" t="s">
        <v>209</v>
      </c>
      <c r="J686" s="85" t="s">
        <v>282</v>
      </c>
      <c r="K686" s="86" t="n">
        <f aca="false">$K$674</f>
        <v>15</v>
      </c>
      <c r="L686" s="86" t="n">
        <f aca="false">E686*K686</f>
        <v>65.175</v>
      </c>
    </row>
    <row r="687" customFormat="false" ht="15" hidden="false" customHeight="true" outlineLevel="0" collapsed="false">
      <c r="A687" s="24"/>
      <c r="B687" s="20" t="s">
        <v>332</v>
      </c>
      <c r="C687" s="37" t="s">
        <v>331</v>
      </c>
      <c r="D687" s="37" t="s">
        <v>299</v>
      </c>
      <c r="E687" s="84" t="n">
        <v>0.06</v>
      </c>
      <c r="F687" s="21" t="n">
        <f aca="false">VLOOKUP(C687,'Perhitungan Bahan'!$A$5:$J$61,10,FALSE())</f>
        <v>26200</v>
      </c>
      <c r="G687" s="21" t="n">
        <f aca="false">E687*F687</f>
        <v>1572</v>
      </c>
      <c r="H687" s="85" t="s">
        <v>211</v>
      </c>
      <c r="I687" s="85" t="s">
        <v>209</v>
      </c>
      <c r="J687" s="85" t="s">
        <v>282</v>
      </c>
      <c r="K687" s="86" t="n">
        <f aca="false">$K$674</f>
        <v>15</v>
      </c>
      <c r="L687" s="86" t="n">
        <f aca="false">E687*K687</f>
        <v>0.9</v>
      </c>
    </row>
    <row r="688" customFormat="false" ht="15" hidden="false" customHeight="true" outlineLevel="0" collapsed="false">
      <c r="A688" s="24"/>
      <c r="B688" s="20" t="s">
        <v>315</v>
      </c>
      <c r="C688" s="37" t="s">
        <v>314</v>
      </c>
      <c r="D688" s="37" t="s">
        <v>93</v>
      </c>
      <c r="E688" s="84" t="n">
        <v>0.05</v>
      </c>
      <c r="F688" s="21" t="n">
        <f aca="false">VLOOKUP(C688,'Perhitungan Bahan'!$A$5:$J$61,10,FALSE())</f>
        <v>209000</v>
      </c>
      <c r="G688" s="21" t="n">
        <f aca="false">E688*F688</f>
        <v>10450</v>
      </c>
      <c r="H688" s="85" t="s">
        <v>211</v>
      </c>
      <c r="I688" s="85" t="s">
        <v>209</v>
      </c>
      <c r="J688" s="85" t="s">
        <v>282</v>
      </c>
      <c r="K688" s="86" t="n">
        <f aca="false">$K$674</f>
        <v>15</v>
      </c>
      <c r="L688" s="86" t="n">
        <f aca="false">E688*K688</f>
        <v>0.75</v>
      </c>
    </row>
    <row r="689" customFormat="false" ht="15" hidden="false" customHeight="true" outlineLevel="0" collapsed="false">
      <c r="A689" s="87"/>
      <c r="B689" s="88" t="s">
        <v>71</v>
      </c>
      <c r="C689" s="87"/>
      <c r="D689" s="87"/>
      <c r="E689" s="87"/>
      <c r="F689" s="87"/>
      <c r="G689" s="89" t="n">
        <f aca="false">SUM(G683:G688)</f>
        <v>192118.101666667</v>
      </c>
      <c r="H689" s="24"/>
      <c r="I689" s="24"/>
      <c r="J689" s="24"/>
      <c r="K689" s="24"/>
      <c r="L689" s="24"/>
    </row>
    <row r="690" customFormat="false" ht="15" hidden="false" customHeight="true" outlineLevel="0" collapsed="false">
      <c r="A690" s="90" t="s">
        <v>545</v>
      </c>
      <c r="B690" s="91" t="s">
        <v>546</v>
      </c>
      <c r="C690" s="92"/>
      <c r="D690" s="92"/>
      <c r="E690" s="92"/>
      <c r="F690" s="92"/>
      <c r="G690" s="93" t="n">
        <f aca="false">G681+G689</f>
        <v>217046.511666667</v>
      </c>
      <c r="H690" s="24"/>
      <c r="I690" s="24"/>
      <c r="J690" s="24"/>
      <c r="K690" s="24"/>
      <c r="L690" s="24"/>
    </row>
    <row r="691" customFormat="false" ht="15" hidden="false" customHeight="true" outlineLevel="0" collapsed="false">
      <c r="A691" s="37" t="s">
        <v>547</v>
      </c>
      <c r="B691" s="20" t="s">
        <v>548</v>
      </c>
      <c r="C691" s="24"/>
      <c r="D691" s="24"/>
      <c r="E691" s="94" t="n">
        <f aca="false">Parameter!$B$4</f>
        <v>0.15</v>
      </c>
      <c r="F691" s="24"/>
      <c r="G691" s="21" t="n">
        <f aca="false">G690*E691</f>
        <v>32556.97675</v>
      </c>
      <c r="H691" s="24"/>
      <c r="I691" s="24"/>
      <c r="J691" s="24"/>
      <c r="K691" s="24"/>
      <c r="L691" s="24"/>
    </row>
    <row r="692" customFormat="false" ht="15" hidden="false" customHeight="true" outlineLevel="0" collapsed="false">
      <c r="A692" s="95" t="s">
        <v>549</v>
      </c>
      <c r="B692" s="96" t="s">
        <v>550</v>
      </c>
      <c r="C692" s="97"/>
      <c r="D692" s="97"/>
      <c r="E692" s="97"/>
      <c r="F692" s="97"/>
      <c r="G692" s="98" t="n">
        <f aca="false">G690+G691</f>
        <v>249603.488416667</v>
      </c>
      <c r="H692" s="24"/>
      <c r="I692" s="24"/>
      <c r="J692" s="24"/>
      <c r="K692" s="24"/>
      <c r="L692" s="24"/>
    </row>
    <row r="694" customFormat="false" ht="23.25" hidden="false" customHeight="true" outlineLevel="0" collapsed="false">
      <c r="A694" s="35" t="s">
        <v>213</v>
      </c>
      <c r="B694" s="35" t="s">
        <v>602</v>
      </c>
      <c r="C694" s="35"/>
      <c r="D694" s="35"/>
      <c r="E694" s="35"/>
      <c r="F694" s="35"/>
      <c r="G694" s="35"/>
      <c r="H694" s="35"/>
      <c r="I694" s="35"/>
      <c r="J694" s="81" t="s">
        <v>537</v>
      </c>
      <c r="K694" s="82" t="n">
        <f aca="false">Volume!$B$17</f>
        <v>15</v>
      </c>
      <c r="L694" s="35"/>
    </row>
    <row r="695" customFormat="false" ht="23.25" hidden="false" customHeight="true" outlineLevel="0" collapsed="false">
      <c r="A695" s="83" t="s">
        <v>538</v>
      </c>
      <c r="B695" s="25" t="s">
        <v>567</v>
      </c>
      <c r="C695" s="24"/>
      <c r="D695" s="24"/>
      <c r="E695" s="24"/>
      <c r="F695" s="24"/>
      <c r="G695" s="26" t="n">
        <v>0</v>
      </c>
      <c r="H695" s="24"/>
      <c r="I695" s="24"/>
      <c r="J695" s="24"/>
      <c r="K695" s="24"/>
      <c r="L695" s="24"/>
    </row>
    <row r="696" customFormat="false" ht="23.25" hidden="false" customHeight="true" outlineLevel="0" collapsed="false">
      <c r="A696" s="83" t="s">
        <v>543</v>
      </c>
      <c r="B696" s="25" t="s">
        <v>568</v>
      </c>
      <c r="C696" s="24"/>
      <c r="D696" s="24"/>
      <c r="E696" s="24"/>
      <c r="F696" s="24"/>
      <c r="G696" s="24"/>
      <c r="H696" s="24"/>
      <c r="I696" s="24"/>
      <c r="J696" s="24"/>
      <c r="K696" s="24"/>
      <c r="L696" s="24"/>
    </row>
    <row r="697" customFormat="false" ht="15" hidden="false" customHeight="true" outlineLevel="0" collapsed="false">
      <c r="A697" s="24"/>
      <c r="B697" s="20" t="s">
        <v>214</v>
      </c>
      <c r="C697" s="37" t="s">
        <v>475</v>
      </c>
      <c r="D697" s="37" t="s">
        <v>81</v>
      </c>
      <c r="E697" s="99" t="n">
        <v>1</v>
      </c>
      <c r="F697" s="39" t="n">
        <f aca="false">'Perhitungan Bahan'!I73</f>
        <v>600000</v>
      </c>
      <c r="G697" s="21" t="n">
        <f aca="false">E697*F697</f>
        <v>600000</v>
      </c>
      <c r="H697" s="24"/>
      <c r="I697" s="24"/>
      <c r="J697" s="24"/>
      <c r="K697" s="24"/>
      <c r="L697" s="24"/>
    </row>
    <row r="698" customFormat="false" ht="15" hidden="false" customHeight="true" outlineLevel="0" collapsed="false">
      <c r="A698" s="87"/>
      <c r="B698" s="88" t="s">
        <v>569</v>
      </c>
      <c r="C698" s="87"/>
      <c r="D698" s="87"/>
      <c r="E698" s="87"/>
      <c r="F698" s="87"/>
      <c r="G698" s="89" t="n">
        <f aca="false">G697</f>
        <v>600000</v>
      </c>
      <c r="H698" s="24"/>
      <c r="I698" s="24"/>
      <c r="J698" s="24"/>
      <c r="K698" s="24"/>
      <c r="L698" s="24"/>
    </row>
    <row r="699" customFormat="false" ht="15" hidden="false" customHeight="true" outlineLevel="0" collapsed="false">
      <c r="A699" s="90" t="s">
        <v>545</v>
      </c>
      <c r="B699" s="91" t="s">
        <v>546</v>
      </c>
      <c r="C699" s="92"/>
      <c r="D699" s="92"/>
      <c r="E699" s="92"/>
      <c r="F699" s="92"/>
      <c r="G699" s="93" t="n">
        <f aca="false">G695+G698</f>
        <v>600000</v>
      </c>
      <c r="H699" s="24"/>
      <c r="I699" s="24"/>
      <c r="J699" s="24"/>
      <c r="K699" s="24"/>
      <c r="L699" s="24"/>
    </row>
    <row r="700" customFormat="false" ht="15" hidden="false" customHeight="true" outlineLevel="0" collapsed="false">
      <c r="A700" s="37" t="s">
        <v>547</v>
      </c>
      <c r="B700" s="20" t="s">
        <v>548</v>
      </c>
      <c r="C700" s="24"/>
      <c r="D700" s="24"/>
      <c r="E700" s="94" t="n">
        <f aca="false">Parameter!$B$4</f>
        <v>0.15</v>
      </c>
      <c r="F700" s="24"/>
      <c r="G700" s="21" t="n">
        <f aca="false">G699*E700</f>
        <v>90000</v>
      </c>
      <c r="H700" s="24"/>
      <c r="I700" s="24"/>
      <c r="J700" s="24"/>
      <c r="K700" s="24"/>
      <c r="L700" s="24"/>
    </row>
    <row r="701" customFormat="false" ht="15" hidden="false" customHeight="true" outlineLevel="0" collapsed="false">
      <c r="A701" s="95" t="s">
        <v>549</v>
      </c>
      <c r="B701" s="96" t="s">
        <v>550</v>
      </c>
      <c r="C701" s="97"/>
      <c r="D701" s="97"/>
      <c r="E701" s="97"/>
      <c r="F701" s="97"/>
      <c r="G701" s="98" t="n">
        <f aca="false">G699+G700</f>
        <v>690000</v>
      </c>
      <c r="H701" s="24"/>
      <c r="I701" s="24"/>
      <c r="J701" s="24"/>
      <c r="K701" s="24"/>
      <c r="L701" s="24"/>
    </row>
    <row r="703" customFormat="false" ht="23.25" hidden="false" customHeight="true" outlineLevel="0" collapsed="false">
      <c r="A703" s="35" t="s">
        <v>215</v>
      </c>
      <c r="B703" s="35" t="s">
        <v>603</v>
      </c>
      <c r="C703" s="35"/>
      <c r="D703" s="35"/>
      <c r="E703" s="35"/>
      <c r="F703" s="35"/>
      <c r="G703" s="35"/>
      <c r="H703" s="35"/>
      <c r="I703" s="35"/>
      <c r="J703" s="81" t="s">
        <v>537</v>
      </c>
      <c r="K703" s="82" t="n">
        <f aca="false">Volume!$B$48</f>
        <v>3.6</v>
      </c>
      <c r="L703" s="35"/>
    </row>
    <row r="704" customFormat="false" ht="15" hidden="false" customHeight="true" outlineLevel="0" collapsed="false">
      <c r="A704" s="83" t="s">
        <v>538</v>
      </c>
      <c r="B704" s="25" t="s">
        <v>539</v>
      </c>
      <c r="C704" s="24"/>
      <c r="D704" s="24"/>
      <c r="E704" s="24"/>
      <c r="F704" s="24"/>
      <c r="G704" s="24"/>
      <c r="H704" s="24"/>
      <c r="I704" s="24"/>
      <c r="J704" s="24"/>
      <c r="K704" s="24"/>
      <c r="L704" s="24"/>
    </row>
    <row r="705" customFormat="false" ht="15" hidden="false" customHeight="true" outlineLevel="0" collapsed="false">
      <c r="A705" s="24"/>
      <c r="B705" s="20" t="s">
        <v>487</v>
      </c>
      <c r="C705" s="37" t="s">
        <v>488</v>
      </c>
      <c r="D705" s="37" t="s">
        <v>540</v>
      </c>
      <c r="E705" s="84" t="n">
        <v>0.82</v>
      </c>
      <c r="F705" s="21" t="n">
        <f aca="false">INDEX('Perhitungan Upah'!$C$5:$C$13,MATCH(C705,'Perhitungan Upah'!$B$5:$B$13,0))</f>
        <v>130500</v>
      </c>
      <c r="G705" s="21" t="n">
        <f aca="false">E705*F705</f>
        <v>107010</v>
      </c>
      <c r="H705" s="85" t="s">
        <v>215</v>
      </c>
      <c r="I705" s="85" t="s">
        <v>209</v>
      </c>
      <c r="J705" s="85" t="s">
        <v>541</v>
      </c>
      <c r="K705" s="86" t="n">
        <f aca="false">$K$703</f>
        <v>3.6</v>
      </c>
      <c r="L705" s="86" t="n">
        <f aca="false">E705*K705</f>
        <v>2.952</v>
      </c>
    </row>
    <row r="706" customFormat="false" ht="15" hidden="false" customHeight="true" outlineLevel="0" collapsed="false">
      <c r="A706" s="24"/>
      <c r="B706" s="20" t="s">
        <v>490</v>
      </c>
      <c r="C706" s="37" t="s">
        <v>491</v>
      </c>
      <c r="D706" s="37" t="s">
        <v>540</v>
      </c>
      <c r="E706" s="84" t="n">
        <v>0.36</v>
      </c>
      <c r="F706" s="21" t="n">
        <f aca="false">INDEX('Perhitungan Upah'!$C$5:$C$13,MATCH(C706,'Perhitungan Upah'!$B$5:$B$13,0))</f>
        <v>175300</v>
      </c>
      <c r="G706" s="21" t="n">
        <f aca="false">E706*F706</f>
        <v>63108</v>
      </c>
      <c r="H706" s="85" t="s">
        <v>215</v>
      </c>
      <c r="I706" s="85" t="s">
        <v>209</v>
      </c>
      <c r="J706" s="85" t="s">
        <v>541</v>
      </c>
      <c r="K706" s="86" t="n">
        <f aca="false">$K$703</f>
        <v>3.6</v>
      </c>
      <c r="L706" s="86" t="n">
        <f aca="false">E706*K706</f>
        <v>1.296</v>
      </c>
    </row>
    <row r="707" customFormat="false" ht="15" hidden="false" customHeight="true" outlineLevel="0" collapsed="false">
      <c r="A707" s="24"/>
      <c r="B707" s="20" t="s">
        <v>502</v>
      </c>
      <c r="C707" s="37" t="s">
        <v>503</v>
      </c>
      <c r="D707" s="37" t="s">
        <v>540</v>
      </c>
      <c r="E707" s="84" t="n">
        <v>0.0486</v>
      </c>
      <c r="F707" s="21" t="n">
        <f aca="false">INDEX('Perhitungan Upah'!$C$5:$C$13,MATCH(C707,'Perhitungan Upah'!$B$5:$B$13,0))</f>
        <v>198900</v>
      </c>
      <c r="G707" s="21" t="n">
        <f aca="false">E707*F707</f>
        <v>9666.54</v>
      </c>
      <c r="H707" s="85" t="s">
        <v>215</v>
      </c>
      <c r="I707" s="85" t="s">
        <v>209</v>
      </c>
      <c r="J707" s="85" t="s">
        <v>541</v>
      </c>
      <c r="K707" s="86" t="n">
        <f aca="false">$K$703</f>
        <v>3.6</v>
      </c>
      <c r="L707" s="86" t="n">
        <f aca="false">E707*K707</f>
        <v>0.17496</v>
      </c>
    </row>
    <row r="708" customFormat="false" ht="15" hidden="false" customHeight="true" outlineLevel="0" collapsed="false">
      <c r="A708" s="24"/>
      <c r="B708" s="20" t="s">
        <v>504</v>
      </c>
      <c r="C708" s="37" t="s">
        <v>505</v>
      </c>
      <c r="D708" s="37" t="s">
        <v>540</v>
      </c>
      <c r="E708" s="84" t="n">
        <v>0.044</v>
      </c>
      <c r="F708" s="21" t="n">
        <f aca="false">INDEX('Perhitungan Upah'!$C$5:$C$13,MATCH(C708,'Perhitungan Upah'!$B$5:$B$13,0))</f>
        <v>228300</v>
      </c>
      <c r="G708" s="21" t="n">
        <f aca="false">E708*F708</f>
        <v>10045.2</v>
      </c>
      <c r="H708" s="85" t="s">
        <v>215</v>
      </c>
      <c r="I708" s="85" t="s">
        <v>209</v>
      </c>
      <c r="J708" s="85" t="s">
        <v>541</v>
      </c>
      <c r="K708" s="86" t="n">
        <f aca="false">$K$703</f>
        <v>3.6</v>
      </c>
      <c r="L708" s="86" t="n">
        <f aca="false">E708*K708</f>
        <v>0.1584</v>
      </c>
    </row>
    <row r="709" customFormat="false" ht="15" hidden="false" customHeight="true" outlineLevel="0" collapsed="false">
      <c r="A709" s="24"/>
      <c r="B709" s="20" t="s">
        <v>496</v>
      </c>
      <c r="C709" s="37" t="s">
        <v>497</v>
      </c>
      <c r="D709" s="37" t="s">
        <v>540</v>
      </c>
      <c r="E709" s="84" t="n">
        <v>0.126</v>
      </c>
      <c r="F709" s="21" t="n">
        <f aca="false">INDEX('Perhitungan Upah'!$C$5:$C$13,MATCH(C709,'Perhitungan Upah'!$B$5:$B$13,0))</f>
        <v>165000</v>
      </c>
      <c r="G709" s="21" t="n">
        <f aca="false">E709*F709</f>
        <v>20790</v>
      </c>
      <c r="H709" s="85" t="s">
        <v>215</v>
      </c>
      <c r="I709" s="85" t="s">
        <v>209</v>
      </c>
      <c r="J709" s="85" t="s">
        <v>541</v>
      </c>
      <c r="K709" s="86" t="n">
        <f aca="false">$K$703</f>
        <v>3.6</v>
      </c>
      <c r="L709" s="86" t="n">
        <f aca="false">E709*K709</f>
        <v>0.4536</v>
      </c>
    </row>
    <row r="710" customFormat="false" ht="15" hidden="false" customHeight="true" outlineLevel="0" collapsed="false">
      <c r="A710" s="87"/>
      <c r="B710" s="88" t="s">
        <v>542</v>
      </c>
      <c r="C710" s="87"/>
      <c r="D710" s="87"/>
      <c r="E710" s="87"/>
      <c r="F710" s="87"/>
      <c r="G710" s="89" t="n">
        <f aca="false">SUM(G705:G709)</f>
        <v>210619.74</v>
      </c>
      <c r="H710" s="24"/>
      <c r="I710" s="24"/>
      <c r="J710" s="24"/>
      <c r="K710" s="24"/>
      <c r="L710" s="24"/>
    </row>
    <row r="711" customFormat="false" ht="15" hidden="false" customHeight="true" outlineLevel="0" collapsed="false">
      <c r="A711" s="83" t="s">
        <v>543</v>
      </c>
      <c r="B711" s="25" t="s">
        <v>544</v>
      </c>
      <c r="C711" s="24"/>
      <c r="D711" s="24"/>
      <c r="E711" s="24"/>
      <c r="F711" s="24"/>
      <c r="G711" s="24"/>
      <c r="H711" s="24"/>
      <c r="I711" s="24"/>
      <c r="J711" s="24"/>
      <c r="K711" s="24"/>
      <c r="L711" s="24"/>
    </row>
    <row r="712" customFormat="false" ht="15" hidden="false" customHeight="true" outlineLevel="0" collapsed="false">
      <c r="A712" s="24"/>
      <c r="B712" s="20" t="s">
        <v>347</v>
      </c>
      <c r="C712" s="37" t="s">
        <v>346</v>
      </c>
      <c r="D712" s="37" t="s">
        <v>181</v>
      </c>
      <c r="E712" s="84" t="n">
        <v>8.97645</v>
      </c>
      <c r="F712" s="21" t="n">
        <f aca="false">VLOOKUP(C712,'Perhitungan Bahan'!$A$5:$J$61,10,FALSE())</f>
        <v>9820</v>
      </c>
      <c r="G712" s="21" t="n">
        <f aca="false">E712*F712</f>
        <v>88148.739</v>
      </c>
      <c r="H712" s="85" t="s">
        <v>215</v>
      </c>
      <c r="I712" s="85" t="s">
        <v>209</v>
      </c>
      <c r="J712" s="85" t="s">
        <v>282</v>
      </c>
      <c r="K712" s="86" t="n">
        <f aca="false">$K$703</f>
        <v>3.6</v>
      </c>
      <c r="L712" s="86" t="n">
        <f aca="false">E712*K712</f>
        <v>32.31522</v>
      </c>
    </row>
    <row r="713" customFormat="false" ht="15" hidden="false" customHeight="true" outlineLevel="0" collapsed="false">
      <c r="A713" s="24"/>
      <c r="B713" s="20" t="s">
        <v>351</v>
      </c>
      <c r="C713" s="37" t="s">
        <v>350</v>
      </c>
      <c r="D713" s="37" t="s">
        <v>299</v>
      </c>
      <c r="E713" s="84" t="n">
        <v>7.875</v>
      </c>
      <c r="F713" s="21" t="n">
        <f aca="false">VLOOKUP(C713,'Perhitungan Bahan'!$A$5:$J$61,10,FALSE())</f>
        <v>2175</v>
      </c>
      <c r="G713" s="21" t="n">
        <f aca="false">E713*F713</f>
        <v>17128.125</v>
      </c>
      <c r="H713" s="85" t="s">
        <v>215</v>
      </c>
      <c r="I713" s="85" t="s">
        <v>209</v>
      </c>
      <c r="J713" s="85" t="s">
        <v>282</v>
      </c>
      <c r="K713" s="86" t="n">
        <f aca="false">$K$703</f>
        <v>3.6</v>
      </c>
      <c r="L713" s="86" t="n">
        <f aca="false">E713*K713</f>
        <v>28.35</v>
      </c>
    </row>
    <row r="714" customFormat="false" ht="15" hidden="false" customHeight="true" outlineLevel="0" collapsed="false">
      <c r="A714" s="24"/>
      <c r="B714" s="20" t="s">
        <v>297</v>
      </c>
      <c r="C714" s="37" t="s">
        <v>296</v>
      </c>
      <c r="D714" s="37" t="s">
        <v>299</v>
      </c>
      <c r="E714" s="84" t="n">
        <v>19.929</v>
      </c>
      <c r="F714" s="21" t="n">
        <f aca="false">VLOOKUP(C714,'Perhitungan Bahan'!$A$5:$J$61,10,FALSE())</f>
        <v>1575</v>
      </c>
      <c r="G714" s="21" t="n">
        <f aca="false">E714*F714</f>
        <v>31388.175</v>
      </c>
      <c r="H714" s="85" t="s">
        <v>215</v>
      </c>
      <c r="I714" s="85" t="s">
        <v>209</v>
      </c>
      <c r="J714" s="85" t="s">
        <v>282</v>
      </c>
      <c r="K714" s="86" t="n">
        <f aca="false">$K$703</f>
        <v>3.6</v>
      </c>
      <c r="L714" s="86" t="n">
        <f aca="false">E714*K714</f>
        <v>71.7444</v>
      </c>
    </row>
    <row r="715" customFormat="false" ht="15" hidden="false" customHeight="true" outlineLevel="0" collapsed="false">
      <c r="A715" s="24"/>
      <c r="B715" s="20" t="s">
        <v>305</v>
      </c>
      <c r="C715" s="37" t="s">
        <v>304</v>
      </c>
      <c r="D715" s="37" t="s">
        <v>93</v>
      </c>
      <c r="E715" s="84" t="n">
        <v>0.0528</v>
      </c>
      <c r="F715" s="21" t="n">
        <f aca="false">VLOOKUP(C715,'Perhitungan Bahan'!$A$5:$J$61,10,FALSE())</f>
        <v>295200</v>
      </c>
      <c r="G715" s="21" t="n">
        <f aca="false">E715*F715</f>
        <v>15586.56</v>
      </c>
      <c r="H715" s="85" t="s">
        <v>215</v>
      </c>
      <c r="I715" s="85" t="s">
        <v>209</v>
      </c>
      <c r="J715" s="85" t="s">
        <v>282</v>
      </c>
      <c r="K715" s="86" t="n">
        <f aca="false">$K$703</f>
        <v>3.6</v>
      </c>
      <c r="L715" s="86" t="n">
        <f aca="false">E715*K715</f>
        <v>0.19008</v>
      </c>
    </row>
    <row r="716" customFormat="false" ht="15" hidden="false" customHeight="true" outlineLevel="0" collapsed="false">
      <c r="A716" s="24"/>
      <c r="B716" s="20" t="s">
        <v>391</v>
      </c>
      <c r="C716" s="37" t="s">
        <v>390</v>
      </c>
      <c r="D716" s="37" t="s">
        <v>299</v>
      </c>
      <c r="E716" s="84" t="n">
        <v>0.21</v>
      </c>
      <c r="F716" s="21" t="n">
        <f aca="false">VLOOKUP(C716,'Perhitungan Bahan'!$A$5:$J$61,10,FALSE())</f>
        <v>86875</v>
      </c>
      <c r="G716" s="21" t="n">
        <f aca="false">E716*F716</f>
        <v>18243.75</v>
      </c>
      <c r="H716" s="85" t="s">
        <v>215</v>
      </c>
      <c r="I716" s="85" t="s">
        <v>209</v>
      </c>
      <c r="J716" s="85" t="s">
        <v>282</v>
      </c>
      <c r="K716" s="86" t="n">
        <f aca="false">$K$703</f>
        <v>3.6</v>
      </c>
      <c r="L716" s="86" t="n">
        <f aca="false">E716*K716</f>
        <v>0.756</v>
      </c>
    </row>
    <row r="717" customFormat="false" ht="15" hidden="false" customHeight="true" outlineLevel="0" collapsed="false">
      <c r="A717" s="24"/>
      <c r="B717" s="20" t="s">
        <v>395</v>
      </c>
      <c r="C717" s="37" t="s">
        <v>394</v>
      </c>
      <c r="D717" s="37" t="s">
        <v>345</v>
      </c>
      <c r="E717" s="84" t="n">
        <v>0.40444</v>
      </c>
      <c r="F717" s="21" t="n">
        <f aca="false">VLOOKUP(C717,'Perhitungan Bahan'!$A$5:$J$61,10,FALSE())</f>
        <v>196288</v>
      </c>
      <c r="G717" s="21" t="n">
        <f aca="false">E717*F717</f>
        <v>79386.71872</v>
      </c>
      <c r="H717" s="85" t="s">
        <v>215</v>
      </c>
      <c r="I717" s="85" t="s">
        <v>209</v>
      </c>
      <c r="J717" s="85" t="s">
        <v>282</v>
      </c>
      <c r="K717" s="86" t="n">
        <f aca="false">$K$703</f>
        <v>3.6</v>
      </c>
      <c r="L717" s="86" t="n">
        <f aca="false">E717*K717</f>
        <v>1.455984</v>
      </c>
    </row>
    <row r="718" customFormat="false" ht="15" hidden="false" customHeight="true" outlineLevel="0" collapsed="false">
      <c r="A718" s="87"/>
      <c r="B718" s="88" t="s">
        <v>71</v>
      </c>
      <c r="C718" s="87"/>
      <c r="D718" s="87"/>
      <c r="E718" s="87"/>
      <c r="F718" s="87"/>
      <c r="G718" s="89" t="n">
        <f aca="false">SUM(G712:G717)</f>
        <v>249882.06772</v>
      </c>
      <c r="H718" s="24"/>
      <c r="I718" s="24"/>
      <c r="J718" s="24"/>
      <c r="K718" s="24"/>
      <c r="L718" s="24"/>
    </row>
    <row r="719" customFormat="false" ht="15" hidden="false" customHeight="true" outlineLevel="0" collapsed="false">
      <c r="A719" s="90" t="s">
        <v>545</v>
      </c>
      <c r="B719" s="91" t="s">
        <v>546</v>
      </c>
      <c r="C719" s="92"/>
      <c r="D719" s="92"/>
      <c r="E719" s="92"/>
      <c r="F719" s="92"/>
      <c r="G719" s="93" t="n">
        <f aca="false">G710+G718</f>
        <v>460501.80772</v>
      </c>
      <c r="H719" s="24"/>
      <c r="I719" s="24"/>
      <c r="J719" s="24"/>
      <c r="K719" s="24"/>
      <c r="L719" s="24"/>
    </row>
    <row r="720" customFormat="false" ht="15" hidden="false" customHeight="true" outlineLevel="0" collapsed="false">
      <c r="A720" s="37" t="s">
        <v>547</v>
      </c>
      <c r="B720" s="20" t="s">
        <v>548</v>
      </c>
      <c r="C720" s="24"/>
      <c r="D720" s="24"/>
      <c r="E720" s="94" t="n">
        <f aca="false">Parameter!$B$4</f>
        <v>0.15</v>
      </c>
      <c r="F720" s="24"/>
      <c r="G720" s="21" t="n">
        <f aca="false">G719*E720</f>
        <v>69075.271158</v>
      </c>
      <c r="H720" s="24"/>
      <c r="I720" s="24"/>
      <c r="J720" s="24"/>
      <c r="K720" s="24"/>
      <c r="L720" s="24"/>
    </row>
    <row r="721" customFormat="false" ht="15" hidden="false" customHeight="true" outlineLevel="0" collapsed="false">
      <c r="A721" s="95" t="s">
        <v>549</v>
      </c>
      <c r="B721" s="96" t="s">
        <v>550</v>
      </c>
      <c r="C721" s="97"/>
      <c r="D721" s="97"/>
      <c r="E721" s="97"/>
      <c r="F721" s="97"/>
      <c r="G721" s="98" t="n">
        <f aca="false">G719+G720</f>
        <v>529577.078878</v>
      </c>
      <c r="H721" s="24"/>
      <c r="I721" s="24"/>
      <c r="J721" s="24"/>
      <c r="K721" s="24"/>
      <c r="L721" s="24"/>
    </row>
    <row r="723" customFormat="false" ht="23.25" hidden="false" customHeight="true" outlineLevel="0" collapsed="false">
      <c r="A723" s="35" t="s">
        <v>217</v>
      </c>
      <c r="B723" s="35" t="s">
        <v>604</v>
      </c>
      <c r="C723" s="35"/>
      <c r="D723" s="35"/>
      <c r="E723" s="35"/>
      <c r="F723" s="35"/>
      <c r="G723" s="35"/>
      <c r="H723" s="35"/>
      <c r="I723" s="35"/>
      <c r="J723" s="81" t="s">
        <v>537</v>
      </c>
      <c r="K723" s="82" t="n">
        <f aca="false">Volume!$B$47</f>
        <v>3.6</v>
      </c>
      <c r="L723" s="35"/>
    </row>
    <row r="724" customFormat="false" ht="23.25" hidden="false" customHeight="true" outlineLevel="0" collapsed="false">
      <c r="A724" s="83" t="s">
        <v>538</v>
      </c>
      <c r="B724" s="25" t="s">
        <v>567</v>
      </c>
      <c r="C724" s="24"/>
      <c r="D724" s="24"/>
      <c r="E724" s="24"/>
      <c r="F724" s="24"/>
      <c r="G724" s="26" t="n">
        <v>0</v>
      </c>
      <c r="H724" s="24"/>
      <c r="I724" s="24"/>
      <c r="J724" s="24"/>
      <c r="K724" s="24"/>
      <c r="L724" s="24"/>
    </row>
    <row r="725" customFormat="false" ht="23.25" hidden="false" customHeight="true" outlineLevel="0" collapsed="false">
      <c r="A725" s="83" t="s">
        <v>543</v>
      </c>
      <c r="B725" s="25" t="s">
        <v>568</v>
      </c>
      <c r="C725" s="24"/>
      <c r="D725" s="24"/>
      <c r="E725" s="24"/>
      <c r="F725" s="24"/>
      <c r="G725" s="24"/>
      <c r="H725" s="24"/>
      <c r="I725" s="24"/>
      <c r="J725" s="24"/>
      <c r="K725" s="24"/>
      <c r="L725" s="24"/>
    </row>
    <row r="726" customFormat="false" ht="15" hidden="false" customHeight="true" outlineLevel="0" collapsed="false">
      <c r="A726" s="24"/>
      <c r="B726" s="20" t="s">
        <v>218</v>
      </c>
      <c r="C726" s="37" t="s">
        <v>477</v>
      </c>
      <c r="D726" s="37" t="s">
        <v>81</v>
      </c>
      <c r="E726" s="99" t="n">
        <v>1</v>
      </c>
      <c r="F726" s="39" t="n">
        <f aca="false">'Perhitungan Bahan'!I74</f>
        <v>895900</v>
      </c>
      <c r="G726" s="21" t="n">
        <f aca="false">E726*F726</f>
        <v>895900</v>
      </c>
      <c r="H726" s="24"/>
      <c r="I726" s="24"/>
      <c r="J726" s="24"/>
      <c r="K726" s="24"/>
      <c r="L726" s="24"/>
    </row>
    <row r="727" customFormat="false" ht="15" hidden="false" customHeight="true" outlineLevel="0" collapsed="false">
      <c r="A727" s="87"/>
      <c r="B727" s="88" t="s">
        <v>569</v>
      </c>
      <c r="C727" s="87"/>
      <c r="D727" s="87"/>
      <c r="E727" s="87"/>
      <c r="F727" s="87"/>
      <c r="G727" s="89" t="n">
        <f aca="false">G726</f>
        <v>895900</v>
      </c>
      <c r="H727" s="24"/>
      <c r="I727" s="24"/>
      <c r="J727" s="24"/>
      <c r="K727" s="24"/>
      <c r="L727" s="24"/>
    </row>
    <row r="728" customFormat="false" ht="15" hidden="false" customHeight="true" outlineLevel="0" collapsed="false">
      <c r="A728" s="90" t="s">
        <v>545</v>
      </c>
      <c r="B728" s="91" t="s">
        <v>546</v>
      </c>
      <c r="C728" s="92"/>
      <c r="D728" s="92"/>
      <c r="E728" s="92"/>
      <c r="F728" s="92"/>
      <c r="G728" s="93" t="n">
        <f aca="false">G724+G727</f>
        <v>895900</v>
      </c>
      <c r="H728" s="24"/>
      <c r="I728" s="24"/>
      <c r="J728" s="24"/>
      <c r="K728" s="24"/>
      <c r="L728" s="24"/>
    </row>
    <row r="729" customFormat="false" ht="15" hidden="false" customHeight="true" outlineLevel="0" collapsed="false">
      <c r="A729" s="37" t="s">
        <v>547</v>
      </c>
      <c r="B729" s="20" t="s">
        <v>548</v>
      </c>
      <c r="C729" s="24"/>
      <c r="D729" s="24"/>
      <c r="E729" s="94" t="n">
        <f aca="false">Parameter!$B$4</f>
        <v>0.15</v>
      </c>
      <c r="F729" s="24"/>
      <c r="G729" s="21" t="n">
        <f aca="false">G728*E729</f>
        <v>134385</v>
      </c>
      <c r="H729" s="24"/>
      <c r="I729" s="24"/>
      <c r="J729" s="24"/>
      <c r="K729" s="24"/>
      <c r="L729" s="24"/>
    </row>
    <row r="730" customFormat="false" ht="15" hidden="false" customHeight="true" outlineLevel="0" collapsed="false">
      <c r="A730" s="95" t="s">
        <v>549</v>
      </c>
      <c r="B730" s="96" t="s">
        <v>550</v>
      </c>
      <c r="C730" s="97"/>
      <c r="D730" s="97"/>
      <c r="E730" s="97"/>
      <c r="F730" s="97"/>
      <c r="G730" s="98" t="n">
        <f aca="false">G728+G729</f>
        <v>1030285</v>
      </c>
      <c r="H730" s="24"/>
      <c r="I730" s="24"/>
      <c r="J730" s="24"/>
      <c r="K730" s="24"/>
      <c r="L730" s="24"/>
    </row>
    <row r="732" customFormat="false" ht="23.25" hidden="false" customHeight="true" outlineLevel="0" collapsed="false">
      <c r="A732" s="35" t="s">
        <v>219</v>
      </c>
      <c r="B732" s="35" t="s">
        <v>605</v>
      </c>
      <c r="C732" s="35"/>
      <c r="D732" s="35"/>
      <c r="E732" s="35"/>
      <c r="F732" s="35"/>
      <c r="G732" s="35"/>
      <c r="H732" s="35"/>
      <c r="I732" s="35"/>
      <c r="J732" s="81" t="s">
        <v>537</v>
      </c>
      <c r="K732" s="82" t="n">
        <f aca="false">Volume!$B$49</f>
        <v>5.4</v>
      </c>
      <c r="L732" s="35"/>
    </row>
    <row r="733" customFormat="false" ht="23.25" hidden="false" customHeight="true" outlineLevel="0" collapsed="false">
      <c r="A733" s="83" t="s">
        <v>538</v>
      </c>
      <c r="B733" s="25" t="s">
        <v>567</v>
      </c>
      <c r="C733" s="24"/>
      <c r="D733" s="24"/>
      <c r="E733" s="24"/>
      <c r="F733" s="24"/>
      <c r="G733" s="26" t="n">
        <v>0</v>
      </c>
      <c r="H733" s="24"/>
      <c r="I733" s="24"/>
      <c r="J733" s="24"/>
      <c r="K733" s="24"/>
      <c r="L733" s="24"/>
    </row>
    <row r="734" customFormat="false" ht="23.25" hidden="false" customHeight="true" outlineLevel="0" collapsed="false">
      <c r="A734" s="83" t="s">
        <v>543</v>
      </c>
      <c r="B734" s="25" t="s">
        <v>568</v>
      </c>
      <c r="C734" s="24"/>
      <c r="D734" s="24"/>
      <c r="E734" s="24"/>
      <c r="F734" s="24"/>
      <c r="G734" s="24"/>
      <c r="H734" s="24"/>
      <c r="I734" s="24"/>
      <c r="J734" s="24"/>
      <c r="K734" s="24"/>
      <c r="L734" s="24"/>
    </row>
    <row r="735" customFormat="false" ht="15" hidden="false" customHeight="true" outlineLevel="0" collapsed="false">
      <c r="A735" s="24"/>
      <c r="B735" s="20" t="s">
        <v>220</v>
      </c>
      <c r="C735" s="37" t="s">
        <v>478</v>
      </c>
      <c r="D735" s="37" t="s">
        <v>81</v>
      </c>
      <c r="E735" s="99" t="n">
        <v>1</v>
      </c>
      <c r="F735" s="39" t="n">
        <f aca="false">'Perhitungan Bahan'!I75</f>
        <v>1650000</v>
      </c>
      <c r="G735" s="21" t="n">
        <f aca="false">E735*F735</f>
        <v>1650000</v>
      </c>
      <c r="H735" s="24"/>
      <c r="I735" s="24"/>
      <c r="J735" s="24"/>
      <c r="K735" s="24"/>
      <c r="L735" s="24"/>
    </row>
    <row r="736" customFormat="false" ht="15" hidden="false" customHeight="true" outlineLevel="0" collapsed="false">
      <c r="A736" s="87"/>
      <c r="B736" s="88" t="s">
        <v>569</v>
      </c>
      <c r="C736" s="87"/>
      <c r="D736" s="87"/>
      <c r="E736" s="87"/>
      <c r="F736" s="87"/>
      <c r="G736" s="89" t="n">
        <f aca="false">G735</f>
        <v>1650000</v>
      </c>
      <c r="H736" s="24"/>
      <c r="I736" s="24"/>
      <c r="J736" s="24"/>
      <c r="K736" s="24"/>
      <c r="L736" s="24"/>
    </row>
    <row r="737" customFormat="false" ht="15" hidden="false" customHeight="true" outlineLevel="0" collapsed="false">
      <c r="A737" s="90" t="s">
        <v>545</v>
      </c>
      <c r="B737" s="91" t="s">
        <v>546</v>
      </c>
      <c r="C737" s="92"/>
      <c r="D737" s="92"/>
      <c r="E737" s="92"/>
      <c r="F737" s="92"/>
      <c r="G737" s="93" t="n">
        <f aca="false">G733+G736</f>
        <v>1650000</v>
      </c>
      <c r="H737" s="24"/>
      <c r="I737" s="24"/>
      <c r="J737" s="24"/>
      <c r="K737" s="24"/>
      <c r="L737" s="24"/>
    </row>
    <row r="738" customFormat="false" ht="15" hidden="false" customHeight="true" outlineLevel="0" collapsed="false">
      <c r="A738" s="37" t="s">
        <v>547</v>
      </c>
      <c r="B738" s="20" t="s">
        <v>548</v>
      </c>
      <c r="C738" s="24"/>
      <c r="D738" s="24"/>
      <c r="E738" s="94" t="n">
        <f aca="false">Parameter!$B$4</f>
        <v>0.15</v>
      </c>
      <c r="F738" s="24"/>
      <c r="G738" s="21" t="n">
        <f aca="false">G737*E738</f>
        <v>247500</v>
      </c>
      <c r="H738" s="24"/>
      <c r="I738" s="24"/>
      <c r="J738" s="24"/>
      <c r="K738" s="24"/>
      <c r="L738" s="24"/>
    </row>
    <row r="739" customFormat="false" ht="15" hidden="false" customHeight="true" outlineLevel="0" collapsed="false">
      <c r="A739" s="95" t="s">
        <v>549</v>
      </c>
      <c r="B739" s="96" t="s">
        <v>550</v>
      </c>
      <c r="C739" s="97"/>
      <c r="D739" s="97"/>
      <c r="E739" s="97"/>
      <c r="F739" s="97"/>
      <c r="G739" s="98" t="n">
        <f aca="false">G737+G738</f>
        <v>1897500</v>
      </c>
      <c r="H739" s="24"/>
      <c r="I739" s="24"/>
      <c r="J739" s="24"/>
      <c r="K739" s="24"/>
      <c r="L739" s="24"/>
    </row>
    <row r="741" customFormat="false" ht="23.25" hidden="false" customHeight="true" outlineLevel="0" collapsed="false">
      <c r="A741" s="35" t="s">
        <v>221</v>
      </c>
      <c r="B741" s="35" t="s">
        <v>606</v>
      </c>
      <c r="C741" s="35"/>
      <c r="D741" s="35"/>
      <c r="E741" s="35"/>
      <c r="F741" s="35"/>
      <c r="G741" s="35"/>
      <c r="H741" s="35"/>
      <c r="I741" s="35"/>
      <c r="J741" s="81" t="s">
        <v>537</v>
      </c>
      <c r="K741" s="82" t="n">
        <v>1</v>
      </c>
      <c r="L741" s="35"/>
    </row>
    <row r="742" customFormat="false" ht="23.25" hidden="false" customHeight="true" outlineLevel="0" collapsed="false">
      <c r="A742" s="83" t="s">
        <v>538</v>
      </c>
      <c r="B742" s="25" t="s">
        <v>567</v>
      </c>
      <c r="C742" s="24"/>
      <c r="D742" s="24"/>
      <c r="E742" s="24"/>
      <c r="F742" s="24"/>
      <c r="G742" s="26" t="n">
        <v>0</v>
      </c>
      <c r="H742" s="24"/>
      <c r="I742" s="24"/>
      <c r="J742" s="24"/>
      <c r="K742" s="24"/>
      <c r="L742" s="24"/>
    </row>
    <row r="743" customFormat="false" ht="23.25" hidden="false" customHeight="true" outlineLevel="0" collapsed="false">
      <c r="A743" s="83" t="s">
        <v>543</v>
      </c>
      <c r="B743" s="25" t="s">
        <v>568</v>
      </c>
      <c r="C743" s="24"/>
      <c r="D743" s="24"/>
      <c r="E743" s="24"/>
      <c r="F743" s="24"/>
      <c r="G743" s="24"/>
      <c r="H743" s="24"/>
      <c r="I743" s="24"/>
      <c r="J743" s="24"/>
      <c r="K743" s="24"/>
      <c r="L743" s="24"/>
    </row>
    <row r="744" customFormat="false" ht="15" hidden="false" customHeight="true" outlineLevel="0" collapsed="false">
      <c r="A744" s="24"/>
      <c r="B744" s="20" t="s">
        <v>222</v>
      </c>
      <c r="C744" s="37" t="s">
        <v>480</v>
      </c>
      <c r="D744" s="37" t="s">
        <v>175</v>
      </c>
      <c r="E744" s="99" t="n">
        <v>1</v>
      </c>
      <c r="F744" s="39" t="n">
        <f aca="false">'Perhitungan Bahan'!I76</f>
        <v>650000</v>
      </c>
      <c r="G744" s="21" t="n">
        <f aca="false">E744*F744</f>
        <v>650000</v>
      </c>
      <c r="H744" s="24"/>
      <c r="I744" s="24"/>
      <c r="J744" s="24"/>
      <c r="K744" s="24"/>
      <c r="L744" s="24"/>
    </row>
    <row r="745" customFormat="false" ht="15" hidden="false" customHeight="true" outlineLevel="0" collapsed="false">
      <c r="A745" s="87"/>
      <c r="B745" s="88" t="s">
        <v>569</v>
      </c>
      <c r="C745" s="87"/>
      <c r="D745" s="87"/>
      <c r="E745" s="87"/>
      <c r="F745" s="87"/>
      <c r="G745" s="89" t="n">
        <f aca="false">G744</f>
        <v>650000</v>
      </c>
      <c r="H745" s="24"/>
      <c r="I745" s="24"/>
      <c r="J745" s="24"/>
      <c r="K745" s="24"/>
      <c r="L745" s="24"/>
    </row>
    <row r="746" customFormat="false" ht="15" hidden="false" customHeight="true" outlineLevel="0" collapsed="false">
      <c r="A746" s="90" t="s">
        <v>545</v>
      </c>
      <c r="B746" s="91" t="s">
        <v>546</v>
      </c>
      <c r="C746" s="92"/>
      <c r="D746" s="92"/>
      <c r="E746" s="92"/>
      <c r="F746" s="92"/>
      <c r="G746" s="93" t="n">
        <f aca="false">G742+G745</f>
        <v>650000</v>
      </c>
      <c r="H746" s="24"/>
      <c r="I746" s="24"/>
      <c r="J746" s="24"/>
      <c r="K746" s="24"/>
      <c r="L746" s="24"/>
    </row>
    <row r="747" customFormat="false" ht="15" hidden="false" customHeight="true" outlineLevel="0" collapsed="false">
      <c r="A747" s="37" t="s">
        <v>547</v>
      </c>
      <c r="B747" s="20" t="s">
        <v>548</v>
      </c>
      <c r="C747" s="24"/>
      <c r="D747" s="24"/>
      <c r="E747" s="94" t="n">
        <f aca="false">Parameter!$B$4</f>
        <v>0.15</v>
      </c>
      <c r="F747" s="24"/>
      <c r="G747" s="21" t="n">
        <f aca="false">G746*E747</f>
        <v>97500</v>
      </c>
      <c r="H747" s="24"/>
      <c r="I747" s="24"/>
      <c r="J747" s="24"/>
      <c r="K747" s="24"/>
      <c r="L747" s="24"/>
    </row>
    <row r="748" customFormat="false" ht="15" hidden="false" customHeight="true" outlineLevel="0" collapsed="false">
      <c r="A748" s="95" t="s">
        <v>549</v>
      </c>
      <c r="B748" s="96" t="s">
        <v>550</v>
      </c>
      <c r="C748" s="97"/>
      <c r="D748" s="97"/>
      <c r="E748" s="97"/>
      <c r="F748" s="97"/>
      <c r="G748" s="98" t="n">
        <f aca="false">G746+G747</f>
        <v>747500</v>
      </c>
      <c r="H748" s="24"/>
      <c r="I748" s="24"/>
      <c r="J748" s="24"/>
      <c r="K748" s="24"/>
      <c r="L748" s="24"/>
    </row>
  </sheetData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A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4" min="3" style="0" width="10.8"/>
    <col collapsed="false" customWidth="true" hidden="false" outlineLevel="0" max="8" min="5" style="0" width="8.5"/>
    <col collapsed="false" customWidth="true" hidden="false" outlineLevel="0" max="21" min="9" style="0" width="7.4"/>
    <col collapsed="false" customWidth="true" hidden="false" outlineLevel="0" max="34" min="22" style="0" width="8.5"/>
  </cols>
  <sheetData>
    <row r="1" customFormat="false" ht="25.5" hidden="false" customHeight="true" outlineLevel="0" collapsed="false">
      <c r="A1" s="2" t="s">
        <v>607</v>
      </c>
    </row>
    <row r="2" customFormat="false" ht="18" hidden="false" customHeight="true" outlineLevel="0" collapsed="false">
      <c r="A2" s="3" t="s">
        <v>608</v>
      </c>
    </row>
    <row r="3" customFormat="false" ht="15" hidden="false" customHeight="true" outlineLevel="0" collapsed="false">
      <c r="A3" s="25" t="s">
        <v>609</v>
      </c>
      <c r="B3" s="100" t="n">
        <v>4</v>
      </c>
    </row>
    <row r="5" customFormat="false" ht="33.75" hidden="false" customHeight="true" outlineLevel="0" collapsed="false">
      <c r="A5" s="5" t="s">
        <v>522</v>
      </c>
      <c r="B5" s="5" t="s">
        <v>610</v>
      </c>
      <c r="C5" s="5" t="s">
        <v>611</v>
      </c>
      <c r="D5" s="5" t="s">
        <v>612</v>
      </c>
      <c r="E5" s="5" t="s">
        <v>613</v>
      </c>
      <c r="F5" s="5" t="s">
        <v>614</v>
      </c>
      <c r="G5" s="5" t="s">
        <v>615</v>
      </c>
      <c r="H5" s="5" t="s">
        <v>616</v>
      </c>
      <c r="I5" s="5" t="s">
        <v>617</v>
      </c>
      <c r="J5" s="5" t="s">
        <v>618</v>
      </c>
      <c r="K5" s="5" t="s">
        <v>619</v>
      </c>
      <c r="L5" s="5" t="s">
        <v>620</v>
      </c>
      <c r="M5" s="5" t="s">
        <v>621</v>
      </c>
      <c r="N5" s="5" t="s">
        <v>622</v>
      </c>
      <c r="O5" s="5" t="s">
        <v>623</v>
      </c>
      <c r="P5" s="5" t="s">
        <v>624</v>
      </c>
      <c r="Q5" s="5" t="s">
        <v>625</v>
      </c>
      <c r="R5" s="5" t="s">
        <v>626</v>
      </c>
      <c r="S5" s="5" t="s">
        <v>627</v>
      </c>
      <c r="T5" s="5" t="s">
        <v>628</v>
      </c>
      <c r="U5" s="5" t="s">
        <v>629</v>
      </c>
      <c r="V5" s="5" t="s">
        <v>630</v>
      </c>
      <c r="W5" s="5" t="s">
        <v>631</v>
      </c>
      <c r="X5" s="5" t="s">
        <v>632</v>
      </c>
      <c r="Y5" s="5" t="s">
        <v>633</v>
      </c>
      <c r="Z5" s="5" t="s">
        <v>634</v>
      </c>
      <c r="AA5" s="5" t="s">
        <v>635</v>
      </c>
      <c r="AB5" s="5" t="s">
        <v>636</v>
      </c>
      <c r="AC5" s="5" t="s">
        <v>637</v>
      </c>
      <c r="AD5" s="5" t="s">
        <v>638</v>
      </c>
      <c r="AE5" s="5" t="s">
        <v>639</v>
      </c>
      <c r="AF5" s="5" t="s">
        <v>640</v>
      </c>
      <c r="AG5" s="5" t="s">
        <v>641</v>
      </c>
      <c r="AH5" s="5" t="s">
        <v>642</v>
      </c>
    </row>
    <row r="6" customFormat="false" ht="15" hidden="false" customHeight="true" outlineLevel="0" collapsed="false">
      <c r="A6" s="20" t="s">
        <v>30</v>
      </c>
      <c r="B6" s="101" t="n">
        <f aca="false">'RAB Borongan'!L5/'RAB Borongan'!L73</f>
        <v>0.0202981074629016</v>
      </c>
      <c r="C6" s="100" t="n">
        <v>1</v>
      </c>
      <c r="D6" s="78" t="n">
        <f aca="false">'Perhitungan Upah'!E154</f>
        <v>1</v>
      </c>
      <c r="E6" s="102" t="n">
        <f aca="false">IF(AND(1&gt;=$C6,1&lt;$C6+$D6),$B6/$D6,0)</f>
        <v>0.0202981074629016</v>
      </c>
      <c r="F6" s="102" t="n">
        <f aca="false">IF(AND(2&gt;=$C6,2&lt;$C6+$D6),$B6/$D6,0)</f>
        <v>0</v>
      </c>
      <c r="G6" s="102" t="n">
        <f aca="false">IF(AND(3&gt;=$C6,3&lt;$C6+$D6),$B6/$D6,0)</f>
        <v>0</v>
      </c>
      <c r="H6" s="102" t="n">
        <f aca="false">IF(AND(4&gt;=$C6,4&lt;$C6+$D6),$B6/$D6,0)</f>
        <v>0</v>
      </c>
      <c r="I6" s="102" t="n">
        <f aca="false">IF(AND(5&gt;=$C6,5&lt;$C6+$D6),$B6/$D6,0)</f>
        <v>0</v>
      </c>
      <c r="J6" s="102" t="n">
        <f aca="false">IF(AND(6&gt;=$C6,6&lt;$C6+$D6),$B6/$D6,0)</f>
        <v>0</v>
      </c>
      <c r="K6" s="102" t="n">
        <f aca="false">IF(AND(7&gt;=$C6,7&lt;$C6+$D6),$B6/$D6,0)</f>
        <v>0</v>
      </c>
      <c r="L6" s="102" t="n">
        <f aca="false">IF(AND(8&gt;=$C6,8&lt;$C6+$D6),$B6/$D6,0)</f>
        <v>0</v>
      </c>
      <c r="M6" s="102" t="n">
        <f aca="false">IF(AND(9&gt;=$C6,9&lt;$C6+$D6),$B6/$D6,0)</f>
        <v>0</v>
      </c>
      <c r="N6" s="102" t="n">
        <f aca="false">IF(AND(10&gt;=$C6,10&lt;$C6+$D6),$B6/$D6,0)</f>
        <v>0</v>
      </c>
      <c r="O6" s="102" t="n">
        <f aca="false">IF(AND(11&gt;=$C6,11&lt;$C6+$D6),$B6/$D6,0)</f>
        <v>0</v>
      </c>
      <c r="P6" s="102" t="n">
        <f aca="false">IF(AND(12&gt;=$C6,12&lt;$C6+$D6),$B6/$D6,0)</f>
        <v>0</v>
      </c>
      <c r="Q6" s="102" t="n">
        <f aca="false">IF(AND(13&gt;=$C6,13&lt;$C6+$D6),$B6/$D6,0)</f>
        <v>0</v>
      </c>
      <c r="R6" s="102" t="n">
        <f aca="false">IF(AND(14&gt;=$C6,14&lt;$C6+$D6),$B6/$D6,0)</f>
        <v>0</v>
      </c>
      <c r="S6" s="102" t="n">
        <f aca="false">IF(AND(15&gt;=$C6,15&lt;$C6+$D6),$B6/$D6,0)</f>
        <v>0</v>
      </c>
      <c r="T6" s="102" t="n">
        <f aca="false">IF(AND(16&gt;=$C6,16&lt;$C6+$D6),$B6/$D6,0)</f>
        <v>0</v>
      </c>
      <c r="U6" s="102" t="n">
        <f aca="false">IF(AND(17&gt;=$C6,17&lt;$C6+$D6),$B6/$D6,0)</f>
        <v>0</v>
      </c>
      <c r="V6" s="102" t="n">
        <f aca="false">IF(AND(18&gt;=$C6,18&lt;$C6+$D6),$B6/$D6,0)</f>
        <v>0</v>
      </c>
      <c r="W6" s="102" t="n">
        <f aca="false">IF(AND(19&gt;=$C6,19&lt;$C6+$D6),$B6/$D6,0)</f>
        <v>0</v>
      </c>
      <c r="X6" s="102" t="n">
        <f aca="false">IF(AND(20&gt;=$C6,20&lt;$C6+$D6),$B6/$D6,0)</f>
        <v>0</v>
      </c>
      <c r="Y6" s="102" t="n">
        <f aca="false">IF(AND(21&gt;=$C6,21&lt;$C6+$D6),$B6/$D6,0)</f>
        <v>0</v>
      </c>
      <c r="Z6" s="102" t="n">
        <f aca="false">IF(AND(22&gt;=$C6,22&lt;$C6+$D6),$B6/$D6,0)</f>
        <v>0</v>
      </c>
      <c r="AA6" s="102" t="n">
        <f aca="false">IF(AND(23&gt;=$C6,23&lt;$C6+$D6),$B6/$D6,0)</f>
        <v>0</v>
      </c>
      <c r="AB6" s="102" t="n">
        <f aca="false">IF(AND(24&gt;=$C6,24&lt;$C6+$D6),$B6/$D6,0)</f>
        <v>0</v>
      </c>
      <c r="AC6" s="102" t="n">
        <f aca="false">IF(AND(25&gt;=$C6,25&lt;$C6+$D6),$B6/$D6,0)</f>
        <v>0</v>
      </c>
      <c r="AD6" s="102" t="n">
        <f aca="false">IF(AND(26&gt;=$C6,26&lt;$C6+$D6),$B6/$D6,0)</f>
        <v>0</v>
      </c>
      <c r="AE6" s="102" t="n">
        <f aca="false">IF(AND(27&gt;=$C6,27&lt;$C6+$D6),$B6/$D6,0)</f>
        <v>0</v>
      </c>
      <c r="AF6" s="102" t="n">
        <f aca="false">IF(AND(28&gt;=$C6,28&lt;$C6+$D6),$B6/$D6,0)</f>
        <v>0</v>
      </c>
      <c r="AG6" s="102" t="n">
        <f aca="false">IF(AND(29&gt;=$C6,29&lt;$C6+$D6),$B6/$D6,0)</f>
        <v>0</v>
      </c>
      <c r="AH6" s="102" t="n">
        <f aca="false">IF(AND(30&gt;=$C6,30&lt;$C6+$D6),$B6/$D6,0)</f>
        <v>0</v>
      </c>
    </row>
    <row r="7" customFormat="false" ht="15" hidden="false" customHeight="true" outlineLevel="0" collapsed="false">
      <c r="A7" s="20" t="s">
        <v>31</v>
      </c>
      <c r="B7" s="101" t="n">
        <f aca="false">'RAB Borongan'!L9/'RAB Borongan'!L73</f>
        <v>0.0886989489042723</v>
      </c>
      <c r="C7" s="78" t="n">
        <f aca="false">C6+D6</f>
        <v>2</v>
      </c>
      <c r="D7" s="78" t="n">
        <f aca="false">'Perhitungan Upah'!E155</f>
        <v>2</v>
      </c>
      <c r="E7" s="102" t="n">
        <f aca="false">IF(AND(1&gt;=$C7,1&lt;$C7+$D7),$B7/$D7,0)</f>
        <v>0</v>
      </c>
      <c r="F7" s="102" t="n">
        <f aca="false">IF(AND(2&gt;=$C7,2&lt;$C7+$D7),$B7/$D7,0)</f>
        <v>0.0443494744521362</v>
      </c>
      <c r="G7" s="102" t="n">
        <f aca="false">IF(AND(3&gt;=$C7,3&lt;$C7+$D7),$B7/$D7,0)</f>
        <v>0.0443494744521362</v>
      </c>
      <c r="H7" s="102" t="n">
        <f aca="false">IF(AND(4&gt;=$C7,4&lt;$C7+$D7),$B7/$D7,0)</f>
        <v>0</v>
      </c>
      <c r="I7" s="102" t="n">
        <f aca="false">IF(AND(5&gt;=$C7,5&lt;$C7+$D7),$B7/$D7,0)</f>
        <v>0</v>
      </c>
      <c r="J7" s="102" t="n">
        <f aca="false">IF(AND(6&gt;=$C7,6&lt;$C7+$D7),$B7/$D7,0)</f>
        <v>0</v>
      </c>
      <c r="K7" s="102" t="n">
        <f aca="false">IF(AND(7&gt;=$C7,7&lt;$C7+$D7),$B7/$D7,0)</f>
        <v>0</v>
      </c>
      <c r="L7" s="102" t="n">
        <f aca="false">IF(AND(8&gt;=$C7,8&lt;$C7+$D7),$B7/$D7,0)</f>
        <v>0</v>
      </c>
      <c r="M7" s="102" t="n">
        <f aca="false">IF(AND(9&gt;=$C7,9&lt;$C7+$D7),$B7/$D7,0)</f>
        <v>0</v>
      </c>
      <c r="N7" s="102" t="n">
        <f aca="false">IF(AND(10&gt;=$C7,10&lt;$C7+$D7),$B7/$D7,0)</f>
        <v>0</v>
      </c>
      <c r="O7" s="102" t="n">
        <f aca="false">IF(AND(11&gt;=$C7,11&lt;$C7+$D7),$B7/$D7,0)</f>
        <v>0</v>
      </c>
      <c r="P7" s="102" t="n">
        <f aca="false">IF(AND(12&gt;=$C7,12&lt;$C7+$D7),$B7/$D7,0)</f>
        <v>0</v>
      </c>
      <c r="Q7" s="102" t="n">
        <f aca="false">IF(AND(13&gt;=$C7,13&lt;$C7+$D7),$B7/$D7,0)</f>
        <v>0</v>
      </c>
      <c r="R7" s="102" t="n">
        <f aca="false">IF(AND(14&gt;=$C7,14&lt;$C7+$D7),$B7/$D7,0)</f>
        <v>0</v>
      </c>
      <c r="S7" s="102" t="n">
        <f aca="false">IF(AND(15&gt;=$C7,15&lt;$C7+$D7),$B7/$D7,0)</f>
        <v>0</v>
      </c>
      <c r="T7" s="102" t="n">
        <f aca="false">IF(AND(16&gt;=$C7,16&lt;$C7+$D7),$B7/$D7,0)</f>
        <v>0</v>
      </c>
      <c r="U7" s="102" t="n">
        <f aca="false">IF(AND(17&gt;=$C7,17&lt;$C7+$D7),$B7/$D7,0)</f>
        <v>0</v>
      </c>
      <c r="V7" s="102" t="n">
        <f aca="false">IF(AND(18&gt;=$C7,18&lt;$C7+$D7),$B7/$D7,0)</f>
        <v>0</v>
      </c>
      <c r="W7" s="102" t="n">
        <f aca="false">IF(AND(19&gt;=$C7,19&lt;$C7+$D7),$B7/$D7,0)</f>
        <v>0</v>
      </c>
      <c r="X7" s="102" t="n">
        <f aca="false">IF(AND(20&gt;=$C7,20&lt;$C7+$D7),$B7/$D7,0)</f>
        <v>0</v>
      </c>
      <c r="Y7" s="102" t="n">
        <f aca="false">IF(AND(21&gt;=$C7,21&lt;$C7+$D7),$B7/$D7,0)</f>
        <v>0</v>
      </c>
      <c r="Z7" s="102" t="n">
        <f aca="false">IF(AND(22&gt;=$C7,22&lt;$C7+$D7),$B7/$D7,0)</f>
        <v>0</v>
      </c>
      <c r="AA7" s="102" t="n">
        <f aca="false">IF(AND(23&gt;=$C7,23&lt;$C7+$D7),$B7/$D7,0)</f>
        <v>0</v>
      </c>
      <c r="AB7" s="102" t="n">
        <f aca="false">IF(AND(24&gt;=$C7,24&lt;$C7+$D7),$B7/$D7,0)</f>
        <v>0</v>
      </c>
      <c r="AC7" s="102" t="n">
        <f aca="false">IF(AND(25&gt;=$C7,25&lt;$C7+$D7),$B7/$D7,0)</f>
        <v>0</v>
      </c>
      <c r="AD7" s="102" t="n">
        <f aca="false">IF(AND(26&gt;=$C7,26&lt;$C7+$D7),$B7/$D7,0)</f>
        <v>0</v>
      </c>
      <c r="AE7" s="102" t="n">
        <f aca="false">IF(AND(27&gt;=$C7,27&lt;$C7+$D7),$B7/$D7,0)</f>
        <v>0</v>
      </c>
      <c r="AF7" s="102" t="n">
        <f aca="false">IF(AND(28&gt;=$C7,28&lt;$C7+$D7),$B7/$D7,0)</f>
        <v>0</v>
      </c>
      <c r="AG7" s="102" t="n">
        <f aca="false">IF(AND(29&gt;=$C7,29&lt;$C7+$D7),$B7/$D7,0)</f>
        <v>0</v>
      </c>
      <c r="AH7" s="102" t="n">
        <f aca="false">IF(AND(30&gt;=$C7,30&lt;$C7+$D7),$B7/$D7,0)</f>
        <v>0</v>
      </c>
    </row>
    <row r="8" customFormat="false" ht="15" hidden="false" customHeight="true" outlineLevel="0" collapsed="false">
      <c r="A8" s="20" t="s">
        <v>32</v>
      </c>
      <c r="B8" s="101" t="n">
        <f aca="false">'RAB Borongan'!L16/'RAB Borongan'!L73</f>
        <v>0.0757987361569228</v>
      </c>
      <c r="C8" s="78" t="n">
        <f aca="false">C7+D7</f>
        <v>4</v>
      </c>
      <c r="D8" s="78" t="n">
        <f aca="false">'Perhitungan Upah'!E156</f>
        <v>1</v>
      </c>
      <c r="E8" s="102" t="n">
        <f aca="false">IF(AND(1&gt;=$C8,1&lt;$C8+$D8),$B8/$D8,0)</f>
        <v>0</v>
      </c>
      <c r="F8" s="102" t="n">
        <f aca="false">IF(AND(2&gt;=$C8,2&lt;$C8+$D8),$B8/$D8,0)</f>
        <v>0</v>
      </c>
      <c r="G8" s="102" t="n">
        <f aca="false">IF(AND(3&gt;=$C8,3&lt;$C8+$D8),$B8/$D8,0)</f>
        <v>0</v>
      </c>
      <c r="H8" s="102" t="n">
        <f aca="false">IF(AND(4&gt;=$C8,4&lt;$C8+$D8),$B8/$D8,0)</f>
        <v>0.0757987361569228</v>
      </c>
      <c r="I8" s="102" t="n">
        <f aca="false">IF(AND(5&gt;=$C8,5&lt;$C8+$D8),$B8/$D8,0)</f>
        <v>0</v>
      </c>
      <c r="J8" s="102" t="n">
        <f aca="false">IF(AND(6&gt;=$C8,6&lt;$C8+$D8),$B8/$D8,0)</f>
        <v>0</v>
      </c>
      <c r="K8" s="102" t="n">
        <f aca="false">IF(AND(7&gt;=$C8,7&lt;$C8+$D8),$B8/$D8,0)</f>
        <v>0</v>
      </c>
      <c r="L8" s="102" t="n">
        <f aca="false">IF(AND(8&gt;=$C8,8&lt;$C8+$D8),$B8/$D8,0)</f>
        <v>0</v>
      </c>
      <c r="M8" s="102" t="n">
        <f aca="false">IF(AND(9&gt;=$C8,9&lt;$C8+$D8),$B8/$D8,0)</f>
        <v>0</v>
      </c>
      <c r="N8" s="102" t="n">
        <f aca="false">IF(AND(10&gt;=$C8,10&lt;$C8+$D8),$B8/$D8,0)</f>
        <v>0</v>
      </c>
      <c r="O8" s="102" t="n">
        <f aca="false">IF(AND(11&gt;=$C8,11&lt;$C8+$D8),$B8/$D8,0)</f>
        <v>0</v>
      </c>
      <c r="P8" s="102" t="n">
        <f aca="false">IF(AND(12&gt;=$C8,12&lt;$C8+$D8),$B8/$D8,0)</f>
        <v>0</v>
      </c>
      <c r="Q8" s="102" t="n">
        <f aca="false">IF(AND(13&gt;=$C8,13&lt;$C8+$D8),$B8/$D8,0)</f>
        <v>0</v>
      </c>
      <c r="R8" s="102" t="n">
        <f aca="false">IF(AND(14&gt;=$C8,14&lt;$C8+$D8),$B8/$D8,0)</f>
        <v>0</v>
      </c>
      <c r="S8" s="102" t="n">
        <f aca="false">IF(AND(15&gt;=$C8,15&lt;$C8+$D8),$B8/$D8,0)</f>
        <v>0</v>
      </c>
      <c r="T8" s="102" t="n">
        <f aca="false">IF(AND(16&gt;=$C8,16&lt;$C8+$D8),$B8/$D8,0)</f>
        <v>0</v>
      </c>
      <c r="U8" s="102" t="n">
        <f aca="false">IF(AND(17&gt;=$C8,17&lt;$C8+$D8),$B8/$D8,0)</f>
        <v>0</v>
      </c>
      <c r="V8" s="102" t="n">
        <f aca="false">IF(AND(18&gt;=$C8,18&lt;$C8+$D8),$B8/$D8,0)</f>
        <v>0</v>
      </c>
      <c r="W8" s="102" t="n">
        <f aca="false">IF(AND(19&gt;=$C8,19&lt;$C8+$D8),$B8/$D8,0)</f>
        <v>0</v>
      </c>
      <c r="X8" s="102" t="n">
        <f aca="false">IF(AND(20&gt;=$C8,20&lt;$C8+$D8),$B8/$D8,0)</f>
        <v>0</v>
      </c>
      <c r="Y8" s="102" t="n">
        <f aca="false">IF(AND(21&gt;=$C8,21&lt;$C8+$D8),$B8/$D8,0)</f>
        <v>0</v>
      </c>
      <c r="Z8" s="102" t="n">
        <f aca="false">IF(AND(22&gt;=$C8,22&lt;$C8+$D8),$B8/$D8,0)</f>
        <v>0</v>
      </c>
      <c r="AA8" s="102" t="n">
        <f aca="false">IF(AND(23&gt;=$C8,23&lt;$C8+$D8),$B8/$D8,0)</f>
        <v>0</v>
      </c>
      <c r="AB8" s="102" t="n">
        <f aca="false">IF(AND(24&gt;=$C8,24&lt;$C8+$D8),$B8/$D8,0)</f>
        <v>0</v>
      </c>
      <c r="AC8" s="102" t="n">
        <f aca="false">IF(AND(25&gt;=$C8,25&lt;$C8+$D8),$B8/$D8,0)</f>
        <v>0</v>
      </c>
      <c r="AD8" s="102" t="n">
        <f aca="false">IF(AND(26&gt;=$C8,26&lt;$C8+$D8),$B8/$D8,0)</f>
        <v>0</v>
      </c>
      <c r="AE8" s="102" t="n">
        <f aca="false">IF(AND(27&gt;=$C8,27&lt;$C8+$D8),$B8/$D8,0)</f>
        <v>0</v>
      </c>
      <c r="AF8" s="102" t="n">
        <f aca="false">IF(AND(28&gt;=$C8,28&lt;$C8+$D8),$B8/$D8,0)</f>
        <v>0</v>
      </c>
      <c r="AG8" s="102" t="n">
        <f aca="false">IF(AND(29&gt;=$C8,29&lt;$C8+$D8),$B8/$D8,0)</f>
        <v>0</v>
      </c>
      <c r="AH8" s="102" t="n">
        <f aca="false">IF(AND(30&gt;=$C8,30&lt;$C8+$D8),$B8/$D8,0)</f>
        <v>0</v>
      </c>
    </row>
    <row r="9" customFormat="false" ht="15" hidden="false" customHeight="true" outlineLevel="0" collapsed="false">
      <c r="A9" s="20" t="s">
        <v>33</v>
      </c>
      <c r="B9" s="101" t="n">
        <f aca="false">'RAB Borongan'!L22/'RAB Borongan'!L73</f>
        <v>0.170170624199716</v>
      </c>
      <c r="C9" s="78" t="n">
        <f aca="false">C8+D8</f>
        <v>5</v>
      </c>
      <c r="D9" s="78" t="n">
        <f aca="false">'Perhitungan Upah'!E157</f>
        <v>5</v>
      </c>
      <c r="E9" s="102" t="n">
        <f aca="false">IF(AND(1&gt;=$C9,1&lt;$C9+$D9),$B9/$D9,0)</f>
        <v>0</v>
      </c>
      <c r="F9" s="102" t="n">
        <f aca="false">IF(AND(2&gt;=$C9,2&lt;$C9+$D9),$B9/$D9,0)</f>
        <v>0</v>
      </c>
      <c r="G9" s="102" t="n">
        <f aca="false">IF(AND(3&gt;=$C9,3&lt;$C9+$D9),$B9/$D9,0)</f>
        <v>0</v>
      </c>
      <c r="H9" s="102" t="n">
        <f aca="false">IF(AND(4&gt;=$C9,4&lt;$C9+$D9),$B9/$D9,0)</f>
        <v>0</v>
      </c>
      <c r="I9" s="102" t="n">
        <f aca="false">IF(AND(5&gt;=$C9,5&lt;$C9+$D9),$B9/$D9,0)</f>
        <v>0.0340341248399431</v>
      </c>
      <c r="J9" s="102" t="n">
        <f aca="false">IF(AND(6&gt;=$C9,6&lt;$C9+$D9),$B9/$D9,0)</f>
        <v>0.0340341248399431</v>
      </c>
      <c r="K9" s="102" t="n">
        <f aca="false">IF(AND(7&gt;=$C9,7&lt;$C9+$D9),$B9/$D9,0)</f>
        <v>0.0340341248399431</v>
      </c>
      <c r="L9" s="102" t="n">
        <f aca="false">IF(AND(8&gt;=$C9,8&lt;$C9+$D9),$B9/$D9,0)</f>
        <v>0.0340341248399431</v>
      </c>
      <c r="M9" s="102" t="n">
        <f aca="false">IF(AND(9&gt;=$C9,9&lt;$C9+$D9),$B9/$D9,0)</f>
        <v>0.0340341248399431</v>
      </c>
      <c r="N9" s="102" t="n">
        <f aca="false">IF(AND(10&gt;=$C9,10&lt;$C9+$D9),$B9/$D9,0)</f>
        <v>0</v>
      </c>
      <c r="O9" s="102" t="n">
        <f aca="false">IF(AND(11&gt;=$C9,11&lt;$C9+$D9),$B9/$D9,0)</f>
        <v>0</v>
      </c>
      <c r="P9" s="102" t="n">
        <f aca="false">IF(AND(12&gt;=$C9,12&lt;$C9+$D9),$B9/$D9,0)</f>
        <v>0</v>
      </c>
      <c r="Q9" s="102" t="n">
        <f aca="false">IF(AND(13&gt;=$C9,13&lt;$C9+$D9),$B9/$D9,0)</f>
        <v>0</v>
      </c>
      <c r="R9" s="102" t="n">
        <f aca="false">IF(AND(14&gt;=$C9,14&lt;$C9+$D9),$B9/$D9,0)</f>
        <v>0</v>
      </c>
      <c r="S9" s="102" t="n">
        <f aca="false">IF(AND(15&gt;=$C9,15&lt;$C9+$D9),$B9/$D9,0)</f>
        <v>0</v>
      </c>
      <c r="T9" s="102" t="n">
        <f aca="false">IF(AND(16&gt;=$C9,16&lt;$C9+$D9),$B9/$D9,0)</f>
        <v>0</v>
      </c>
      <c r="U9" s="102" t="n">
        <f aca="false">IF(AND(17&gt;=$C9,17&lt;$C9+$D9),$B9/$D9,0)</f>
        <v>0</v>
      </c>
      <c r="V9" s="102" t="n">
        <f aca="false">IF(AND(18&gt;=$C9,18&lt;$C9+$D9),$B9/$D9,0)</f>
        <v>0</v>
      </c>
      <c r="W9" s="102" t="n">
        <f aca="false">IF(AND(19&gt;=$C9,19&lt;$C9+$D9),$B9/$D9,0)</f>
        <v>0</v>
      </c>
      <c r="X9" s="102" t="n">
        <f aca="false">IF(AND(20&gt;=$C9,20&lt;$C9+$D9),$B9/$D9,0)</f>
        <v>0</v>
      </c>
      <c r="Y9" s="102" t="n">
        <f aca="false">IF(AND(21&gt;=$C9,21&lt;$C9+$D9),$B9/$D9,0)</f>
        <v>0</v>
      </c>
      <c r="Z9" s="102" t="n">
        <f aca="false">IF(AND(22&gt;=$C9,22&lt;$C9+$D9),$B9/$D9,0)</f>
        <v>0</v>
      </c>
      <c r="AA9" s="102" t="n">
        <f aca="false">IF(AND(23&gt;=$C9,23&lt;$C9+$D9),$B9/$D9,0)</f>
        <v>0</v>
      </c>
      <c r="AB9" s="102" t="n">
        <f aca="false">IF(AND(24&gt;=$C9,24&lt;$C9+$D9),$B9/$D9,0)</f>
        <v>0</v>
      </c>
      <c r="AC9" s="102" t="n">
        <f aca="false">IF(AND(25&gt;=$C9,25&lt;$C9+$D9),$B9/$D9,0)</f>
        <v>0</v>
      </c>
      <c r="AD9" s="102" t="n">
        <f aca="false">IF(AND(26&gt;=$C9,26&lt;$C9+$D9),$B9/$D9,0)</f>
        <v>0</v>
      </c>
      <c r="AE9" s="102" t="n">
        <f aca="false">IF(AND(27&gt;=$C9,27&lt;$C9+$D9),$B9/$D9,0)</f>
        <v>0</v>
      </c>
      <c r="AF9" s="102" t="n">
        <f aca="false">IF(AND(28&gt;=$C9,28&lt;$C9+$D9),$B9/$D9,0)</f>
        <v>0</v>
      </c>
      <c r="AG9" s="102" t="n">
        <f aca="false">IF(AND(29&gt;=$C9,29&lt;$C9+$D9),$B9/$D9,0)</f>
        <v>0</v>
      </c>
      <c r="AH9" s="102" t="n">
        <f aca="false">IF(AND(30&gt;=$C9,30&lt;$C9+$D9),$B9/$D9,0)</f>
        <v>0</v>
      </c>
    </row>
    <row r="10" customFormat="false" ht="15" hidden="false" customHeight="true" outlineLevel="0" collapsed="false">
      <c r="A10" s="20" t="s">
        <v>34</v>
      </c>
      <c r="B10" s="101" t="n">
        <f aca="false">'RAB Borongan'!L25/'RAB Borongan'!L73</f>
        <v>0.143469180146694</v>
      </c>
      <c r="C10" s="78" t="n">
        <f aca="false">C9+D9</f>
        <v>10</v>
      </c>
      <c r="D10" s="78" t="n">
        <f aca="false">'Perhitungan Upah'!E158</f>
        <v>2</v>
      </c>
      <c r="E10" s="102" t="n">
        <f aca="false">IF(AND(1&gt;=$C10,1&lt;$C10+$D10),$B10/$D10,0)</f>
        <v>0</v>
      </c>
      <c r="F10" s="102" t="n">
        <f aca="false">IF(AND(2&gt;=$C10,2&lt;$C10+$D10),$B10/$D10,0)</f>
        <v>0</v>
      </c>
      <c r="G10" s="102" t="n">
        <f aca="false">IF(AND(3&gt;=$C10,3&lt;$C10+$D10),$B10/$D10,0)</f>
        <v>0</v>
      </c>
      <c r="H10" s="102" t="n">
        <f aca="false">IF(AND(4&gt;=$C10,4&lt;$C10+$D10),$B10/$D10,0)</f>
        <v>0</v>
      </c>
      <c r="I10" s="102" t="n">
        <f aca="false">IF(AND(5&gt;=$C10,5&lt;$C10+$D10),$B10/$D10,0)</f>
        <v>0</v>
      </c>
      <c r="J10" s="102" t="n">
        <f aca="false">IF(AND(6&gt;=$C10,6&lt;$C10+$D10),$B10/$D10,0)</f>
        <v>0</v>
      </c>
      <c r="K10" s="102" t="n">
        <f aca="false">IF(AND(7&gt;=$C10,7&lt;$C10+$D10),$B10/$D10,0)</f>
        <v>0</v>
      </c>
      <c r="L10" s="102" t="n">
        <f aca="false">IF(AND(8&gt;=$C10,8&lt;$C10+$D10),$B10/$D10,0)</f>
        <v>0</v>
      </c>
      <c r="M10" s="102" t="n">
        <f aca="false">IF(AND(9&gt;=$C10,9&lt;$C10+$D10),$B10/$D10,0)</f>
        <v>0</v>
      </c>
      <c r="N10" s="102" t="n">
        <f aca="false">IF(AND(10&gt;=$C10,10&lt;$C10+$D10),$B10/$D10,0)</f>
        <v>0.071734590073347</v>
      </c>
      <c r="O10" s="102" t="n">
        <f aca="false">IF(AND(11&gt;=$C10,11&lt;$C10+$D10),$B10/$D10,0)</f>
        <v>0.071734590073347</v>
      </c>
      <c r="P10" s="102" t="n">
        <f aca="false">IF(AND(12&gt;=$C10,12&lt;$C10+$D10),$B10/$D10,0)</f>
        <v>0</v>
      </c>
      <c r="Q10" s="102" t="n">
        <f aca="false">IF(AND(13&gt;=$C10,13&lt;$C10+$D10),$B10/$D10,0)</f>
        <v>0</v>
      </c>
      <c r="R10" s="102" t="n">
        <f aca="false">IF(AND(14&gt;=$C10,14&lt;$C10+$D10),$B10/$D10,0)</f>
        <v>0</v>
      </c>
      <c r="S10" s="102" t="n">
        <f aca="false">IF(AND(15&gt;=$C10,15&lt;$C10+$D10),$B10/$D10,0)</f>
        <v>0</v>
      </c>
      <c r="T10" s="102" t="n">
        <f aca="false">IF(AND(16&gt;=$C10,16&lt;$C10+$D10),$B10/$D10,0)</f>
        <v>0</v>
      </c>
      <c r="U10" s="102" t="n">
        <f aca="false">IF(AND(17&gt;=$C10,17&lt;$C10+$D10),$B10/$D10,0)</f>
        <v>0</v>
      </c>
      <c r="V10" s="102" t="n">
        <f aca="false">IF(AND(18&gt;=$C10,18&lt;$C10+$D10),$B10/$D10,0)</f>
        <v>0</v>
      </c>
      <c r="W10" s="102" t="n">
        <f aca="false">IF(AND(19&gt;=$C10,19&lt;$C10+$D10),$B10/$D10,0)</f>
        <v>0</v>
      </c>
      <c r="X10" s="102" t="n">
        <f aca="false">IF(AND(20&gt;=$C10,20&lt;$C10+$D10),$B10/$D10,0)</f>
        <v>0</v>
      </c>
      <c r="Y10" s="102" t="n">
        <f aca="false">IF(AND(21&gt;=$C10,21&lt;$C10+$D10),$B10/$D10,0)</f>
        <v>0</v>
      </c>
      <c r="Z10" s="102" t="n">
        <f aca="false">IF(AND(22&gt;=$C10,22&lt;$C10+$D10),$B10/$D10,0)</f>
        <v>0</v>
      </c>
      <c r="AA10" s="102" t="n">
        <f aca="false">IF(AND(23&gt;=$C10,23&lt;$C10+$D10),$B10/$D10,0)</f>
        <v>0</v>
      </c>
      <c r="AB10" s="102" t="n">
        <f aca="false">IF(AND(24&gt;=$C10,24&lt;$C10+$D10),$B10/$D10,0)</f>
        <v>0</v>
      </c>
      <c r="AC10" s="102" t="n">
        <f aca="false">IF(AND(25&gt;=$C10,25&lt;$C10+$D10),$B10/$D10,0)</f>
        <v>0</v>
      </c>
      <c r="AD10" s="102" t="n">
        <f aca="false">IF(AND(26&gt;=$C10,26&lt;$C10+$D10),$B10/$D10,0)</f>
        <v>0</v>
      </c>
      <c r="AE10" s="102" t="n">
        <f aca="false">IF(AND(27&gt;=$C10,27&lt;$C10+$D10),$B10/$D10,0)</f>
        <v>0</v>
      </c>
      <c r="AF10" s="102" t="n">
        <f aca="false">IF(AND(28&gt;=$C10,28&lt;$C10+$D10),$B10/$D10,0)</f>
        <v>0</v>
      </c>
      <c r="AG10" s="102" t="n">
        <f aca="false">IF(AND(29&gt;=$C10,29&lt;$C10+$D10),$B10/$D10,0)</f>
        <v>0</v>
      </c>
      <c r="AH10" s="102" t="n">
        <f aca="false">IF(AND(30&gt;=$C10,30&lt;$C10+$D10),$B10/$D10,0)</f>
        <v>0</v>
      </c>
    </row>
    <row r="11" customFormat="false" ht="15" hidden="false" customHeight="true" outlineLevel="0" collapsed="false">
      <c r="A11" s="20" t="s">
        <v>35</v>
      </c>
      <c r="B11" s="101" t="n">
        <f aca="false">'RAB Borongan'!L30/'RAB Borongan'!L73</f>
        <v>0.0200515776601397</v>
      </c>
      <c r="C11" s="78" t="n">
        <f aca="false">C10+D10</f>
        <v>12</v>
      </c>
      <c r="D11" s="78" t="n">
        <f aca="false">'Perhitungan Upah'!E159</f>
        <v>1</v>
      </c>
      <c r="E11" s="102" t="n">
        <f aca="false">IF(AND(1&gt;=$C11,1&lt;$C11+$D11),$B11/$D11,0)</f>
        <v>0</v>
      </c>
      <c r="F11" s="102" t="n">
        <f aca="false">IF(AND(2&gt;=$C11,2&lt;$C11+$D11),$B11/$D11,0)</f>
        <v>0</v>
      </c>
      <c r="G11" s="102" t="n">
        <f aca="false">IF(AND(3&gt;=$C11,3&lt;$C11+$D11),$B11/$D11,0)</f>
        <v>0</v>
      </c>
      <c r="H11" s="102" t="n">
        <f aca="false">IF(AND(4&gt;=$C11,4&lt;$C11+$D11),$B11/$D11,0)</f>
        <v>0</v>
      </c>
      <c r="I11" s="102" t="n">
        <f aca="false">IF(AND(5&gt;=$C11,5&lt;$C11+$D11),$B11/$D11,0)</f>
        <v>0</v>
      </c>
      <c r="J11" s="102" t="n">
        <f aca="false">IF(AND(6&gt;=$C11,6&lt;$C11+$D11),$B11/$D11,0)</f>
        <v>0</v>
      </c>
      <c r="K11" s="102" t="n">
        <f aca="false">IF(AND(7&gt;=$C11,7&lt;$C11+$D11),$B11/$D11,0)</f>
        <v>0</v>
      </c>
      <c r="L11" s="102" t="n">
        <f aca="false">IF(AND(8&gt;=$C11,8&lt;$C11+$D11),$B11/$D11,0)</f>
        <v>0</v>
      </c>
      <c r="M11" s="102" t="n">
        <f aca="false">IF(AND(9&gt;=$C11,9&lt;$C11+$D11),$B11/$D11,0)</f>
        <v>0</v>
      </c>
      <c r="N11" s="102" t="n">
        <f aca="false">IF(AND(10&gt;=$C11,10&lt;$C11+$D11),$B11/$D11,0)</f>
        <v>0</v>
      </c>
      <c r="O11" s="102" t="n">
        <f aca="false">IF(AND(11&gt;=$C11,11&lt;$C11+$D11),$B11/$D11,0)</f>
        <v>0</v>
      </c>
      <c r="P11" s="102" t="n">
        <f aca="false">IF(AND(12&gt;=$C11,12&lt;$C11+$D11),$B11/$D11,0)</f>
        <v>0.0200515776601397</v>
      </c>
      <c r="Q11" s="102" t="n">
        <f aca="false">IF(AND(13&gt;=$C11,13&lt;$C11+$D11),$B11/$D11,0)</f>
        <v>0</v>
      </c>
      <c r="R11" s="102" t="n">
        <f aca="false">IF(AND(14&gt;=$C11,14&lt;$C11+$D11),$B11/$D11,0)</f>
        <v>0</v>
      </c>
      <c r="S11" s="102" t="n">
        <f aca="false">IF(AND(15&gt;=$C11,15&lt;$C11+$D11),$B11/$D11,0)</f>
        <v>0</v>
      </c>
      <c r="T11" s="102" t="n">
        <f aca="false">IF(AND(16&gt;=$C11,16&lt;$C11+$D11),$B11/$D11,0)</f>
        <v>0</v>
      </c>
      <c r="U11" s="102" t="n">
        <f aca="false">IF(AND(17&gt;=$C11,17&lt;$C11+$D11),$B11/$D11,0)</f>
        <v>0</v>
      </c>
      <c r="V11" s="102" t="n">
        <f aca="false">IF(AND(18&gt;=$C11,18&lt;$C11+$D11),$B11/$D11,0)</f>
        <v>0</v>
      </c>
      <c r="W11" s="102" t="n">
        <f aca="false">IF(AND(19&gt;=$C11,19&lt;$C11+$D11),$B11/$D11,0)</f>
        <v>0</v>
      </c>
      <c r="X11" s="102" t="n">
        <f aca="false">IF(AND(20&gt;=$C11,20&lt;$C11+$D11),$B11/$D11,0)</f>
        <v>0</v>
      </c>
      <c r="Y11" s="102" t="n">
        <f aca="false">IF(AND(21&gt;=$C11,21&lt;$C11+$D11),$B11/$D11,0)</f>
        <v>0</v>
      </c>
      <c r="Z11" s="102" t="n">
        <f aca="false">IF(AND(22&gt;=$C11,22&lt;$C11+$D11),$B11/$D11,0)</f>
        <v>0</v>
      </c>
      <c r="AA11" s="102" t="n">
        <f aca="false">IF(AND(23&gt;=$C11,23&lt;$C11+$D11),$B11/$D11,0)</f>
        <v>0</v>
      </c>
      <c r="AB11" s="102" t="n">
        <f aca="false">IF(AND(24&gt;=$C11,24&lt;$C11+$D11),$B11/$D11,0)</f>
        <v>0</v>
      </c>
      <c r="AC11" s="102" t="n">
        <f aca="false">IF(AND(25&gt;=$C11,25&lt;$C11+$D11),$B11/$D11,0)</f>
        <v>0</v>
      </c>
      <c r="AD11" s="102" t="n">
        <f aca="false">IF(AND(26&gt;=$C11,26&lt;$C11+$D11),$B11/$D11,0)</f>
        <v>0</v>
      </c>
      <c r="AE11" s="102" t="n">
        <f aca="false">IF(AND(27&gt;=$C11,27&lt;$C11+$D11),$B11/$D11,0)</f>
        <v>0</v>
      </c>
      <c r="AF11" s="102" t="n">
        <f aca="false">IF(AND(28&gt;=$C11,28&lt;$C11+$D11),$B11/$D11,0)</f>
        <v>0</v>
      </c>
      <c r="AG11" s="102" t="n">
        <f aca="false">IF(AND(29&gt;=$C11,29&lt;$C11+$D11),$B11/$D11,0)</f>
        <v>0</v>
      </c>
      <c r="AH11" s="102" t="n">
        <f aca="false">IF(AND(30&gt;=$C11,30&lt;$C11+$D11),$B11/$D11,0)</f>
        <v>0</v>
      </c>
    </row>
    <row r="12" customFormat="false" ht="15" hidden="false" customHeight="true" outlineLevel="0" collapsed="false">
      <c r="A12" s="20" t="s">
        <v>36</v>
      </c>
      <c r="B12" s="101" t="n">
        <f aca="false">'RAB Borongan'!L32/'RAB Borongan'!L73</f>
        <v>0.0676533082817181</v>
      </c>
      <c r="C12" s="78" t="n">
        <f aca="false">C11+D11</f>
        <v>13</v>
      </c>
      <c r="D12" s="78" t="n">
        <f aca="false">'Perhitungan Upah'!E160</f>
        <v>2</v>
      </c>
      <c r="E12" s="102" t="n">
        <f aca="false">IF(AND(1&gt;=$C12,1&lt;$C12+$D12),$B12/$D12,0)</f>
        <v>0</v>
      </c>
      <c r="F12" s="102" t="n">
        <f aca="false">IF(AND(2&gt;=$C12,2&lt;$C12+$D12),$B12/$D12,0)</f>
        <v>0</v>
      </c>
      <c r="G12" s="102" t="n">
        <f aca="false">IF(AND(3&gt;=$C12,3&lt;$C12+$D12),$B12/$D12,0)</f>
        <v>0</v>
      </c>
      <c r="H12" s="102" t="n">
        <f aca="false">IF(AND(4&gt;=$C12,4&lt;$C12+$D12),$B12/$D12,0)</f>
        <v>0</v>
      </c>
      <c r="I12" s="102" t="n">
        <f aca="false">IF(AND(5&gt;=$C12,5&lt;$C12+$D12),$B12/$D12,0)</f>
        <v>0</v>
      </c>
      <c r="J12" s="102" t="n">
        <f aca="false">IF(AND(6&gt;=$C12,6&lt;$C12+$D12),$B12/$D12,0)</f>
        <v>0</v>
      </c>
      <c r="K12" s="102" t="n">
        <f aca="false">IF(AND(7&gt;=$C12,7&lt;$C12+$D12),$B12/$D12,0)</f>
        <v>0</v>
      </c>
      <c r="L12" s="102" t="n">
        <f aca="false">IF(AND(8&gt;=$C12,8&lt;$C12+$D12),$B12/$D12,0)</f>
        <v>0</v>
      </c>
      <c r="M12" s="102" t="n">
        <f aca="false">IF(AND(9&gt;=$C12,9&lt;$C12+$D12),$B12/$D12,0)</f>
        <v>0</v>
      </c>
      <c r="N12" s="102" t="n">
        <f aca="false">IF(AND(10&gt;=$C12,10&lt;$C12+$D12),$B12/$D12,0)</f>
        <v>0</v>
      </c>
      <c r="O12" s="102" t="n">
        <f aca="false">IF(AND(11&gt;=$C12,11&lt;$C12+$D12),$B12/$D12,0)</f>
        <v>0</v>
      </c>
      <c r="P12" s="102" t="n">
        <f aca="false">IF(AND(12&gt;=$C12,12&lt;$C12+$D12),$B12/$D12,0)</f>
        <v>0</v>
      </c>
      <c r="Q12" s="102" t="n">
        <f aca="false">IF(AND(13&gt;=$C12,13&lt;$C12+$D12),$B12/$D12,0)</f>
        <v>0.0338266541408591</v>
      </c>
      <c r="R12" s="102" t="n">
        <f aca="false">IF(AND(14&gt;=$C12,14&lt;$C12+$D12),$B12/$D12,0)</f>
        <v>0.0338266541408591</v>
      </c>
      <c r="S12" s="102" t="n">
        <f aca="false">IF(AND(15&gt;=$C12,15&lt;$C12+$D12),$B12/$D12,0)</f>
        <v>0</v>
      </c>
      <c r="T12" s="102" t="n">
        <f aca="false">IF(AND(16&gt;=$C12,16&lt;$C12+$D12),$B12/$D12,0)</f>
        <v>0</v>
      </c>
      <c r="U12" s="102" t="n">
        <f aca="false">IF(AND(17&gt;=$C12,17&lt;$C12+$D12),$B12/$D12,0)</f>
        <v>0</v>
      </c>
      <c r="V12" s="102" t="n">
        <f aca="false">IF(AND(18&gt;=$C12,18&lt;$C12+$D12),$B12/$D12,0)</f>
        <v>0</v>
      </c>
      <c r="W12" s="102" t="n">
        <f aca="false">IF(AND(19&gt;=$C12,19&lt;$C12+$D12),$B12/$D12,0)</f>
        <v>0</v>
      </c>
      <c r="X12" s="102" t="n">
        <f aca="false">IF(AND(20&gt;=$C12,20&lt;$C12+$D12),$B12/$D12,0)</f>
        <v>0</v>
      </c>
      <c r="Y12" s="102" t="n">
        <f aca="false">IF(AND(21&gt;=$C12,21&lt;$C12+$D12),$B12/$D12,0)</f>
        <v>0</v>
      </c>
      <c r="Z12" s="102" t="n">
        <f aca="false">IF(AND(22&gt;=$C12,22&lt;$C12+$D12),$B12/$D12,0)</f>
        <v>0</v>
      </c>
      <c r="AA12" s="102" t="n">
        <f aca="false">IF(AND(23&gt;=$C12,23&lt;$C12+$D12),$B12/$D12,0)</f>
        <v>0</v>
      </c>
      <c r="AB12" s="102" t="n">
        <f aca="false">IF(AND(24&gt;=$C12,24&lt;$C12+$D12),$B12/$D12,0)</f>
        <v>0</v>
      </c>
      <c r="AC12" s="102" t="n">
        <f aca="false">IF(AND(25&gt;=$C12,25&lt;$C12+$D12),$B12/$D12,0)</f>
        <v>0</v>
      </c>
      <c r="AD12" s="102" t="n">
        <f aca="false">IF(AND(26&gt;=$C12,26&lt;$C12+$D12),$B12/$D12,0)</f>
        <v>0</v>
      </c>
      <c r="AE12" s="102" t="n">
        <f aca="false">IF(AND(27&gt;=$C12,27&lt;$C12+$D12),$B12/$D12,0)</f>
        <v>0</v>
      </c>
      <c r="AF12" s="102" t="n">
        <f aca="false">IF(AND(28&gt;=$C12,28&lt;$C12+$D12),$B12/$D12,0)</f>
        <v>0</v>
      </c>
      <c r="AG12" s="102" t="n">
        <f aca="false">IF(AND(29&gt;=$C12,29&lt;$C12+$D12),$B12/$D12,0)</f>
        <v>0</v>
      </c>
      <c r="AH12" s="102" t="n">
        <f aca="false">IF(AND(30&gt;=$C12,30&lt;$C12+$D12),$B12/$D12,0)</f>
        <v>0</v>
      </c>
    </row>
    <row r="13" customFormat="false" ht="15" hidden="false" customHeight="true" outlineLevel="0" collapsed="false">
      <c r="A13" s="20" t="s">
        <v>37</v>
      </c>
      <c r="B13" s="101" t="n">
        <f aca="false">'RAB Borongan'!L38/'RAB Borongan'!L73</f>
        <v>0.0917309343989286</v>
      </c>
      <c r="C13" s="78" t="n">
        <f aca="false">C12+D12</f>
        <v>15</v>
      </c>
      <c r="D13" s="78" t="n">
        <f aca="false">'Perhitungan Upah'!E161</f>
        <v>1</v>
      </c>
      <c r="E13" s="102" t="n">
        <f aca="false">IF(AND(1&gt;=$C13,1&lt;$C13+$D13),$B13/$D13,0)</f>
        <v>0</v>
      </c>
      <c r="F13" s="102" t="n">
        <f aca="false">IF(AND(2&gt;=$C13,2&lt;$C13+$D13),$B13/$D13,0)</f>
        <v>0</v>
      </c>
      <c r="G13" s="102" t="n">
        <f aca="false">IF(AND(3&gt;=$C13,3&lt;$C13+$D13),$B13/$D13,0)</f>
        <v>0</v>
      </c>
      <c r="H13" s="102" t="n">
        <f aca="false">IF(AND(4&gt;=$C13,4&lt;$C13+$D13),$B13/$D13,0)</f>
        <v>0</v>
      </c>
      <c r="I13" s="102" t="n">
        <f aca="false">IF(AND(5&gt;=$C13,5&lt;$C13+$D13),$B13/$D13,0)</f>
        <v>0</v>
      </c>
      <c r="J13" s="102" t="n">
        <f aca="false">IF(AND(6&gt;=$C13,6&lt;$C13+$D13),$B13/$D13,0)</f>
        <v>0</v>
      </c>
      <c r="K13" s="102" t="n">
        <f aca="false">IF(AND(7&gt;=$C13,7&lt;$C13+$D13),$B13/$D13,0)</f>
        <v>0</v>
      </c>
      <c r="L13" s="102" t="n">
        <f aca="false">IF(AND(8&gt;=$C13,8&lt;$C13+$D13),$B13/$D13,0)</f>
        <v>0</v>
      </c>
      <c r="M13" s="102" t="n">
        <f aca="false">IF(AND(9&gt;=$C13,9&lt;$C13+$D13),$B13/$D13,0)</f>
        <v>0</v>
      </c>
      <c r="N13" s="102" t="n">
        <f aca="false">IF(AND(10&gt;=$C13,10&lt;$C13+$D13),$B13/$D13,0)</f>
        <v>0</v>
      </c>
      <c r="O13" s="102" t="n">
        <f aca="false">IF(AND(11&gt;=$C13,11&lt;$C13+$D13),$B13/$D13,0)</f>
        <v>0</v>
      </c>
      <c r="P13" s="102" t="n">
        <f aca="false">IF(AND(12&gt;=$C13,12&lt;$C13+$D13),$B13/$D13,0)</f>
        <v>0</v>
      </c>
      <c r="Q13" s="102" t="n">
        <f aca="false">IF(AND(13&gt;=$C13,13&lt;$C13+$D13),$B13/$D13,0)</f>
        <v>0</v>
      </c>
      <c r="R13" s="102" t="n">
        <f aca="false">IF(AND(14&gt;=$C13,14&lt;$C13+$D13),$B13/$D13,0)</f>
        <v>0</v>
      </c>
      <c r="S13" s="102" t="n">
        <f aca="false">IF(AND(15&gt;=$C13,15&lt;$C13+$D13),$B13/$D13,0)</f>
        <v>0.0917309343989286</v>
      </c>
      <c r="T13" s="102" t="n">
        <f aca="false">IF(AND(16&gt;=$C13,16&lt;$C13+$D13),$B13/$D13,0)</f>
        <v>0</v>
      </c>
      <c r="U13" s="102" t="n">
        <f aca="false">IF(AND(17&gt;=$C13,17&lt;$C13+$D13),$B13/$D13,0)</f>
        <v>0</v>
      </c>
      <c r="V13" s="102" t="n">
        <f aca="false">IF(AND(18&gt;=$C13,18&lt;$C13+$D13),$B13/$D13,0)</f>
        <v>0</v>
      </c>
      <c r="W13" s="102" t="n">
        <f aca="false">IF(AND(19&gt;=$C13,19&lt;$C13+$D13),$B13/$D13,0)</f>
        <v>0</v>
      </c>
      <c r="X13" s="102" t="n">
        <f aca="false">IF(AND(20&gt;=$C13,20&lt;$C13+$D13),$B13/$D13,0)</f>
        <v>0</v>
      </c>
      <c r="Y13" s="102" t="n">
        <f aca="false">IF(AND(21&gt;=$C13,21&lt;$C13+$D13),$B13/$D13,0)</f>
        <v>0</v>
      </c>
      <c r="Z13" s="102" t="n">
        <f aca="false">IF(AND(22&gt;=$C13,22&lt;$C13+$D13),$B13/$D13,0)</f>
        <v>0</v>
      </c>
      <c r="AA13" s="102" t="n">
        <f aca="false">IF(AND(23&gt;=$C13,23&lt;$C13+$D13),$B13/$D13,0)</f>
        <v>0</v>
      </c>
      <c r="AB13" s="102" t="n">
        <f aca="false">IF(AND(24&gt;=$C13,24&lt;$C13+$D13),$B13/$D13,0)</f>
        <v>0</v>
      </c>
      <c r="AC13" s="102" t="n">
        <f aca="false">IF(AND(25&gt;=$C13,25&lt;$C13+$D13),$B13/$D13,0)</f>
        <v>0</v>
      </c>
      <c r="AD13" s="102" t="n">
        <f aca="false">IF(AND(26&gt;=$C13,26&lt;$C13+$D13),$B13/$D13,0)</f>
        <v>0</v>
      </c>
      <c r="AE13" s="102" t="n">
        <f aca="false">IF(AND(27&gt;=$C13,27&lt;$C13+$D13),$B13/$D13,0)</f>
        <v>0</v>
      </c>
      <c r="AF13" s="102" t="n">
        <f aca="false">IF(AND(28&gt;=$C13,28&lt;$C13+$D13),$B13/$D13,0)</f>
        <v>0</v>
      </c>
      <c r="AG13" s="102" t="n">
        <f aca="false">IF(AND(29&gt;=$C13,29&lt;$C13+$D13),$B13/$D13,0)</f>
        <v>0</v>
      </c>
      <c r="AH13" s="102" t="n">
        <f aca="false">IF(AND(30&gt;=$C13,30&lt;$C13+$D13),$B13/$D13,0)</f>
        <v>0</v>
      </c>
    </row>
    <row r="14" customFormat="false" ht="15" hidden="false" customHeight="true" outlineLevel="0" collapsed="false">
      <c r="A14" s="20" t="s">
        <v>38</v>
      </c>
      <c r="B14" s="101" t="n">
        <f aca="false">'RAB Borongan'!L44/'RAB Borongan'!L73</f>
        <v>0.0523966551693075</v>
      </c>
      <c r="C14" s="78" t="n">
        <f aca="false">C13+D13</f>
        <v>16</v>
      </c>
      <c r="D14" s="78" t="n">
        <f aca="false">'Perhitungan Upah'!E162</f>
        <v>1</v>
      </c>
      <c r="E14" s="102" t="n">
        <f aca="false">IF(AND(1&gt;=$C14,1&lt;$C14+$D14),$B14/$D14,0)</f>
        <v>0</v>
      </c>
      <c r="F14" s="102" t="n">
        <f aca="false">IF(AND(2&gt;=$C14,2&lt;$C14+$D14),$B14/$D14,0)</f>
        <v>0</v>
      </c>
      <c r="G14" s="102" t="n">
        <f aca="false">IF(AND(3&gt;=$C14,3&lt;$C14+$D14),$B14/$D14,0)</f>
        <v>0</v>
      </c>
      <c r="H14" s="102" t="n">
        <f aca="false">IF(AND(4&gt;=$C14,4&lt;$C14+$D14),$B14/$D14,0)</f>
        <v>0</v>
      </c>
      <c r="I14" s="102" t="n">
        <f aca="false">IF(AND(5&gt;=$C14,5&lt;$C14+$D14),$B14/$D14,0)</f>
        <v>0</v>
      </c>
      <c r="J14" s="102" t="n">
        <f aca="false">IF(AND(6&gt;=$C14,6&lt;$C14+$D14),$B14/$D14,0)</f>
        <v>0</v>
      </c>
      <c r="K14" s="102" t="n">
        <f aca="false">IF(AND(7&gt;=$C14,7&lt;$C14+$D14),$B14/$D14,0)</f>
        <v>0</v>
      </c>
      <c r="L14" s="102" t="n">
        <f aca="false">IF(AND(8&gt;=$C14,8&lt;$C14+$D14),$B14/$D14,0)</f>
        <v>0</v>
      </c>
      <c r="M14" s="102" t="n">
        <f aca="false">IF(AND(9&gt;=$C14,9&lt;$C14+$D14),$B14/$D14,0)</f>
        <v>0</v>
      </c>
      <c r="N14" s="102" t="n">
        <f aca="false">IF(AND(10&gt;=$C14,10&lt;$C14+$D14),$B14/$D14,0)</f>
        <v>0</v>
      </c>
      <c r="O14" s="102" t="n">
        <f aca="false">IF(AND(11&gt;=$C14,11&lt;$C14+$D14),$B14/$D14,0)</f>
        <v>0</v>
      </c>
      <c r="P14" s="102" t="n">
        <f aca="false">IF(AND(12&gt;=$C14,12&lt;$C14+$D14),$B14/$D14,0)</f>
        <v>0</v>
      </c>
      <c r="Q14" s="102" t="n">
        <f aca="false">IF(AND(13&gt;=$C14,13&lt;$C14+$D14),$B14/$D14,0)</f>
        <v>0</v>
      </c>
      <c r="R14" s="102" t="n">
        <f aca="false">IF(AND(14&gt;=$C14,14&lt;$C14+$D14),$B14/$D14,0)</f>
        <v>0</v>
      </c>
      <c r="S14" s="102" t="n">
        <f aca="false">IF(AND(15&gt;=$C14,15&lt;$C14+$D14),$B14/$D14,0)</f>
        <v>0</v>
      </c>
      <c r="T14" s="102" t="n">
        <f aca="false">IF(AND(16&gt;=$C14,16&lt;$C14+$D14),$B14/$D14,0)</f>
        <v>0.0523966551693075</v>
      </c>
      <c r="U14" s="102" t="n">
        <f aca="false">IF(AND(17&gt;=$C14,17&lt;$C14+$D14),$B14/$D14,0)</f>
        <v>0</v>
      </c>
      <c r="V14" s="102" t="n">
        <f aca="false">IF(AND(18&gt;=$C14,18&lt;$C14+$D14),$B14/$D14,0)</f>
        <v>0</v>
      </c>
      <c r="W14" s="102" t="n">
        <f aca="false">IF(AND(19&gt;=$C14,19&lt;$C14+$D14),$B14/$D14,0)</f>
        <v>0</v>
      </c>
      <c r="X14" s="102" t="n">
        <f aca="false">IF(AND(20&gt;=$C14,20&lt;$C14+$D14),$B14/$D14,0)</f>
        <v>0</v>
      </c>
      <c r="Y14" s="102" t="n">
        <f aca="false">IF(AND(21&gt;=$C14,21&lt;$C14+$D14),$B14/$D14,0)</f>
        <v>0</v>
      </c>
      <c r="Z14" s="102" t="n">
        <f aca="false">IF(AND(22&gt;=$C14,22&lt;$C14+$D14),$B14/$D14,0)</f>
        <v>0</v>
      </c>
      <c r="AA14" s="102" t="n">
        <f aca="false">IF(AND(23&gt;=$C14,23&lt;$C14+$D14),$B14/$D14,0)</f>
        <v>0</v>
      </c>
      <c r="AB14" s="102" t="n">
        <f aca="false">IF(AND(24&gt;=$C14,24&lt;$C14+$D14),$B14/$D14,0)</f>
        <v>0</v>
      </c>
      <c r="AC14" s="102" t="n">
        <f aca="false">IF(AND(25&gt;=$C14,25&lt;$C14+$D14),$B14/$D14,0)</f>
        <v>0</v>
      </c>
      <c r="AD14" s="102" t="n">
        <f aca="false">IF(AND(26&gt;=$C14,26&lt;$C14+$D14),$B14/$D14,0)</f>
        <v>0</v>
      </c>
      <c r="AE14" s="102" t="n">
        <f aca="false">IF(AND(27&gt;=$C14,27&lt;$C14+$D14),$B14/$D14,0)</f>
        <v>0</v>
      </c>
      <c r="AF14" s="102" t="n">
        <f aca="false">IF(AND(28&gt;=$C14,28&lt;$C14+$D14),$B14/$D14,0)</f>
        <v>0</v>
      </c>
      <c r="AG14" s="102" t="n">
        <f aca="false">IF(AND(29&gt;=$C14,29&lt;$C14+$D14),$B14/$D14,0)</f>
        <v>0</v>
      </c>
      <c r="AH14" s="102" t="n">
        <f aca="false">IF(AND(30&gt;=$C14,30&lt;$C14+$D14),$B14/$D14,0)</f>
        <v>0</v>
      </c>
    </row>
    <row r="15" customFormat="false" ht="15" hidden="false" customHeight="true" outlineLevel="0" collapsed="false">
      <c r="A15" s="20" t="s">
        <v>39</v>
      </c>
      <c r="B15" s="101" t="n">
        <f aca="false">'RAB Borongan'!L47/'RAB Borongan'!L73</f>
        <v>0.0722238125433823</v>
      </c>
      <c r="C15" s="78" t="n">
        <f aca="false">C14</f>
        <v>16</v>
      </c>
      <c r="D15" s="78" t="n">
        <f aca="false">'Perhitungan Upah'!E163</f>
        <v>1</v>
      </c>
      <c r="E15" s="102" t="n">
        <f aca="false">IF(AND(1&gt;=$C15,1&lt;$C15+$D15),$B15/$D15,0)</f>
        <v>0</v>
      </c>
      <c r="F15" s="102" t="n">
        <f aca="false">IF(AND(2&gt;=$C15,2&lt;$C15+$D15),$B15/$D15,0)</f>
        <v>0</v>
      </c>
      <c r="G15" s="102" t="n">
        <f aca="false">IF(AND(3&gt;=$C15,3&lt;$C15+$D15),$B15/$D15,0)</f>
        <v>0</v>
      </c>
      <c r="H15" s="102" t="n">
        <f aca="false">IF(AND(4&gt;=$C15,4&lt;$C15+$D15),$B15/$D15,0)</f>
        <v>0</v>
      </c>
      <c r="I15" s="102" t="n">
        <f aca="false">IF(AND(5&gt;=$C15,5&lt;$C15+$D15),$B15/$D15,0)</f>
        <v>0</v>
      </c>
      <c r="J15" s="102" t="n">
        <f aca="false">IF(AND(6&gt;=$C15,6&lt;$C15+$D15),$B15/$D15,0)</f>
        <v>0</v>
      </c>
      <c r="K15" s="102" t="n">
        <f aca="false">IF(AND(7&gt;=$C15,7&lt;$C15+$D15),$B15/$D15,0)</f>
        <v>0</v>
      </c>
      <c r="L15" s="102" t="n">
        <f aca="false">IF(AND(8&gt;=$C15,8&lt;$C15+$D15),$B15/$D15,0)</f>
        <v>0</v>
      </c>
      <c r="M15" s="102" t="n">
        <f aca="false">IF(AND(9&gt;=$C15,9&lt;$C15+$D15),$B15/$D15,0)</f>
        <v>0</v>
      </c>
      <c r="N15" s="102" t="n">
        <f aca="false">IF(AND(10&gt;=$C15,10&lt;$C15+$D15),$B15/$D15,0)</f>
        <v>0</v>
      </c>
      <c r="O15" s="102" t="n">
        <f aca="false">IF(AND(11&gt;=$C15,11&lt;$C15+$D15),$B15/$D15,0)</f>
        <v>0</v>
      </c>
      <c r="P15" s="102" t="n">
        <f aca="false">IF(AND(12&gt;=$C15,12&lt;$C15+$D15),$B15/$D15,0)</f>
        <v>0</v>
      </c>
      <c r="Q15" s="102" t="n">
        <f aca="false">IF(AND(13&gt;=$C15,13&lt;$C15+$D15),$B15/$D15,0)</f>
        <v>0</v>
      </c>
      <c r="R15" s="102" t="n">
        <f aca="false">IF(AND(14&gt;=$C15,14&lt;$C15+$D15),$B15/$D15,0)</f>
        <v>0</v>
      </c>
      <c r="S15" s="102" t="n">
        <f aca="false">IF(AND(15&gt;=$C15,15&lt;$C15+$D15),$B15/$D15,0)</f>
        <v>0</v>
      </c>
      <c r="T15" s="102" t="n">
        <f aca="false">IF(AND(16&gt;=$C15,16&lt;$C15+$D15),$B15/$D15,0)</f>
        <v>0.0722238125433823</v>
      </c>
      <c r="U15" s="102" t="n">
        <f aca="false">IF(AND(17&gt;=$C15,17&lt;$C15+$D15),$B15/$D15,0)</f>
        <v>0</v>
      </c>
      <c r="V15" s="102" t="n">
        <f aca="false">IF(AND(18&gt;=$C15,18&lt;$C15+$D15),$B15/$D15,0)</f>
        <v>0</v>
      </c>
      <c r="W15" s="102" t="n">
        <f aca="false">IF(AND(19&gt;=$C15,19&lt;$C15+$D15),$B15/$D15,0)</f>
        <v>0</v>
      </c>
      <c r="X15" s="102" t="n">
        <f aca="false">IF(AND(20&gt;=$C15,20&lt;$C15+$D15),$B15/$D15,0)</f>
        <v>0</v>
      </c>
      <c r="Y15" s="102" t="n">
        <f aca="false">IF(AND(21&gt;=$C15,21&lt;$C15+$D15),$B15/$D15,0)</f>
        <v>0</v>
      </c>
      <c r="Z15" s="102" t="n">
        <f aca="false">IF(AND(22&gt;=$C15,22&lt;$C15+$D15),$B15/$D15,0)</f>
        <v>0</v>
      </c>
      <c r="AA15" s="102" t="n">
        <f aca="false">IF(AND(23&gt;=$C15,23&lt;$C15+$D15),$B15/$D15,0)</f>
        <v>0</v>
      </c>
      <c r="AB15" s="102" t="n">
        <f aca="false">IF(AND(24&gt;=$C15,24&lt;$C15+$D15),$B15/$D15,0)</f>
        <v>0</v>
      </c>
      <c r="AC15" s="102" t="n">
        <f aca="false">IF(AND(25&gt;=$C15,25&lt;$C15+$D15),$B15/$D15,0)</f>
        <v>0</v>
      </c>
      <c r="AD15" s="102" t="n">
        <f aca="false">IF(AND(26&gt;=$C15,26&lt;$C15+$D15),$B15/$D15,0)</f>
        <v>0</v>
      </c>
      <c r="AE15" s="102" t="n">
        <f aca="false">IF(AND(27&gt;=$C15,27&lt;$C15+$D15),$B15/$D15,0)</f>
        <v>0</v>
      </c>
      <c r="AF15" s="102" t="n">
        <f aca="false">IF(AND(28&gt;=$C15,28&lt;$C15+$D15),$B15/$D15,0)</f>
        <v>0</v>
      </c>
      <c r="AG15" s="102" t="n">
        <f aca="false">IF(AND(29&gt;=$C15,29&lt;$C15+$D15),$B15/$D15,0)</f>
        <v>0</v>
      </c>
      <c r="AH15" s="102" t="n">
        <f aca="false">IF(AND(30&gt;=$C15,30&lt;$C15+$D15),$B15/$D15,0)</f>
        <v>0</v>
      </c>
    </row>
    <row r="16" customFormat="false" ht="15" hidden="false" customHeight="true" outlineLevel="0" collapsed="false">
      <c r="A16" s="20" t="s">
        <v>40</v>
      </c>
      <c r="B16" s="101" t="n">
        <f aca="false">'RAB Borongan'!L59/'RAB Borongan'!L73</f>
        <v>0.0436444876511694</v>
      </c>
      <c r="C16" s="78" t="n">
        <f aca="false">C15</f>
        <v>16</v>
      </c>
      <c r="D16" s="78" t="n">
        <f aca="false">'Perhitungan Upah'!E164</f>
        <v>1</v>
      </c>
      <c r="E16" s="102" t="n">
        <f aca="false">IF(AND(1&gt;=$C16,1&lt;$C16+$D16),$B16/$D16,0)</f>
        <v>0</v>
      </c>
      <c r="F16" s="102" t="n">
        <f aca="false">IF(AND(2&gt;=$C16,2&lt;$C16+$D16),$B16/$D16,0)</f>
        <v>0</v>
      </c>
      <c r="G16" s="102" t="n">
        <f aca="false">IF(AND(3&gt;=$C16,3&lt;$C16+$D16),$B16/$D16,0)</f>
        <v>0</v>
      </c>
      <c r="H16" s="102" t="n">
        <f aca="false">IF(AND(4&gt;=$C16,4&lt;$C16+$D16),$B16/$D16,0)</f>
        <v>0</v>
      </c>
      <c r="I16" s="102" t="n">
        <f aca="false">IF(AND(5&gt;=$C16,5&lt;$C16+$D16),$B16/$D16,0)</f>
        <v>0</v>
      </c>
      <c r="J16" s="102" t="n">
        <f aca="false">IF(AND(6&gt;=$C16,6&lt;$C16+$D16),$B16/$D16,0)</f>
        <v>0</v>
      </c>
      <c r="K16" s="102" t="n">
        <f aca="false">IF(AND(7&gt;=$C16,7&lt;$C16+$D16),$B16/$D16,0)</f>
        <v>0</v>
      </c>
      <c r="L16" s="102" t="n">
        <f aca="false">IF(AND(8&gt;=$C16,8&lt;$C16+$D16),$B16/$D16,0)</f>
        <v>0</v>
      </c>
      <c r="M16" s="102" t="n">
        <f aca="false">IF(AND(9&gt;=$C16,9&lt;$C16+$D16),$B16/$D16,0)</f>
        <v>0</v>
      </c>
      <c r="N16" s="102" t="n">
        <f aca="false">IF(AND(10&gt;=$C16,10&lt;$C16+$D16),$B16/$D16,0)</f>
        <v>0</v>
      </c>
      <c r="O16" s="102" t="n">
        <f aca="false">IF(AND(11&gt;=$C16,11&lt;$C16+$D16),$B16/$D16,0)</f>
        <v>0</v>
      </c>
      <c r="P16" s="102" t="n">
        <f aca="false">IF(AND(12&gt;=$C16,12&lt;$C16+$D16),$B16/$D16,0)</f>
        <v>0</v>
      </c>
      <c r="Q16" s="102" t="n">
        <f aca="false">IF(AND(13&gt;=$C16,13&lt;$C16+$D16),$B16/$D16,0)</f>
        <v>0</v>
      </c>
      <c r="R16" s="102" t="n">
        <f aca="false">IF(AND(14&gt;=$C16,14&lt;$C16+$D16),$B16/$D16,0)</f>
        <v>0</v>
      </c>
      <c r="S16" s="102" t="n">
        <f aca="false">IF(AND(15&gt;=$C16,15&lt;$C16+$D16),$B16/$D16,0)</f>
        <v>0</v>
      </c>
      <c r="T16" s="102" t="n">
        <f aca="false">IF(AND(16&gt;=$C16,16&lt;$C16+$D16),$B16/$D16,0)</f>
        <v>0.0436444876511694</v>
      </c>
      <c r="U16" s="102" t="n">
        <f aca="false">IF(AND(17&gt;=$C16,17&lt;$C16+$D16),$B16/$D16,0)</f>
        <v>0</v>
      </c>
      <c r="V16" s="102" t="n">
        <f aca="false">IF(AND(18&gt;=$C16,18&lt;$C16+$D16),$B16/$D16,0)</f>
        <v>0</v>
      </c>
      <c r="W16" s="102" t="n">
        <f aca="false">IF(AND(19&gt;=$C16,19&lt;$C16+$D16),$B16/$D16,0)</f>
        <v>0</v>
      </c>
      <c r="X16" s="102" t="n">
        <f aca="false">IF(AND(20&gt;=$C16,20&lt;$C16+$D16),$B16/$D16,0)</f>
        <v>0</v>
      </c>
      <c r="Y16" s="102" t="n">
        <f aca="false">IF(AND(21&gt;=$C16,21&lt;$C16+$D16),$B16/$D16,0)</f>
        <v>0</v>
      </c>
      <c r="Z16" s="102" t="n">
        <f aca="false">IF(AND(22&gt;=$C16,22&lt;$C16+$D16),$B16/$D16,0)</f>
        <v>0</v>
      </c>
      <c r="AA16" s="102" t="n">
        <f aca="false">IF(AND(23&gt;=$C16,23&lt;$C16+$D16),$B16/$D16,0)</f>
        <v>0</v>
      </c>
      <c r="AB16" s="102" t="n">
        <f aca="false">IF(AND(24&gt;=$C16,24&lt;$C16+$D16),$B16/$D16,0)</f>
        <v>0</v>
      </c>
      <c r="AC16" s="102" t="n">
        <f aca="false">IF(AND(25&gt;=$C16,25&lt;$C16+$D16),$B16/$D16,0)</f>
        <v>0</v>
      </c>
      <c r="AD16" s="102" t="n">
        <f aca="false">IF(AND(26&gt;=$C16,26&lt;$C16+$D16),$B16/$D16,0)</f>
        <v>0</v>
      </c>
      <c r="AE16" s="102" t="n">
        <f aca="false">IF(AND(27&gt;=$C16,27&lt;$C16+$D16),$B16/$D16,0)</f>
        <v>0</v>
      </c>
      <c r="AF16" s="102" t="n">
        <f aca="false">IF(AND(28&gt;=$C16,28&lt;$C16+$D16),$B16/$D16,0)</f>
        <v>0</v>
      </c>
      <c r="AG16" s="102" t="n">
        <f aca="false">IF(AND(29&gt;=$C16,29&lt;$C16+$D16),$B16/$D16,0)</f>
        <v>0</v>
      </c>
      <c r="AH16" s="102" t="n">
        <f aca="false">IF(AND(30&gt;=$C16,30&lt;$C16+$D16),$B16/$D16,0)</f>
        <v>0</v>
      </c>
    </row>
    <row r="17" customFormat="false" ht="15" hidden="false" customHeight="true" outlineLevel="0" collapsed="false">
      <c r="A17" s="20" t="s">
        <v>41</v>
      </c>
      <c r="B17" s="101" t="n">
        <f aca="false">'RAB Borongan'!L63/'RAB Borongan'!L73</f>
        <v>0.0221619465543368</v>
      </c>
      <c r="C17" s="78" t="n">
        <f aca="false">C16+D16</f>
        <v>17</v>
      </c>
      <c r="D17" s="78" t="n">
        <f aca="false">'Perhitungan Upah'!E165</f>
        <v>1</v>
      </c>
      <c r="E17" s="102" t="n">
        <f aca="false">IF(AND(1&gt;=$C17,1&lt;$C17+$D17),$B17/$D17,0)</f>
        <v>0</v>
      </c>
      <c r="F17" s="102" t="n">
        <f aca="false">IF(AND(2&gt;=$C17,2&lt;$C17+$D17),$B17/$D17,0)</f>
        <v>0</v>
      </c>
      <c r="G17" s="102" t="n">
        <f aca="false">IF(AND(3&gt;=$C17,3&lt;$C17+$D17),$B17/$D17,0)</f>
        <v>0</v>
      </c>
      <c r="H17" s="102" t="n">
        <f aca="false">IF(AND(4&gt;=$C17,4&lt;$C17+$D17),$B17/$D17,0)</f>
        <v>0</v>
      </c>
      <c r="I17" s="102" t="n">
        <f aca="false">IF(AND(5&gt;=$C17,5&lt;$C17+$D17),$B17/$D17,0)</f>
        <v>0</v>
      </c>
      <c r="J17" s="102" t="n">
        <f aca="false">IF(AND(6&gt;=$C17,6&lt;$C17+$D17),$B17/$D17,0)</f>
        <v>0</v>
      </c>
      <c r="K17" s="102" t="n">
        <f aca="false">IF(AND(7&gt;=$C17,7&lt;$C17+$D17),$B17/$D17,0)</f>
        <v>0</v>
      </c>
      <c r="L17" s="102" t="n">
        <f aca="false">IF(AND(8&gt;=$C17,8&lt;$C17+$D17),$B17/$D17,0)</f>
        <v>0</v>
      </c>
      <c r="M17" s="102" t="n">
        <f aca="false">IF(AND(9&gt;=$C17,9&lt;$C17+$D17),$B17/$D17,0)</f>
        <v>0</v>
      </c>
      <c r="N17" s="102" t="n">
        <f aca="false">IF(AND(10&gt;=$C17,10&lt;$C17+$D17),$B17/$D17,0)</f>
        <v>0</v>
      </c>
      <c r="O17" s="102" t="n">
        <f aca="false">IF(AND(11&gt;=$C17,11&lt;$C17+$D17),$B17/$D17,0)</f>
        <v>0</v>
      </c>
      <c r="P17" s="102" t="n">
        <f aca="false">IF(AND(12&gt;=$C17,12&lt;$C17+$D17),$B17/$D17,0)</f>
        <v>0</v>
      </c>
      <c r="Q17" s="102" t="n">
        <f aca="false">IF(AND(13&gt;=$C17,13&lt;$C17+$D17),$B17/$D17,0)</f>
        <v>0</v>
      </c>
      <c r="R17" s="102" t="n">
        <f aca="false">IF(AND(14&gt;=$C17,14&lt;$C17+$D17),$B17/$D17,0)</f>
        <v>0</v>
      </c>
      <c r="S17" s="102" t="n">
        <f aca="false">IF(AND(15&gt;=$C17,15&lt;$C17+$D17),$B17/$D17,0)</f>
        <v>0</v>
      </c>
      <c r="T17" s="102" t="n">
        <f aca="false">IF(AND(16&gt;=$C17,16&lt;$C17+$D17),$B17/$D17,0)</f>
        <v>0</v>
      </c>
      <c r="U17" s="102" t="n">
        <f aca="false">IF(AND(17&gt;=$C17,17&lt;$C17+$D17),$B17/$D17,0)</f>
        <v>0.0221619465543368</v>
      </c>
      <c r="V17" s="102" t="n">
        <f aca="false">IF(AND(18&gt;=$C17,18&lt;$C17+$D17),$B17/$D17,0)</f>
        <v>0</v>
      </c>
      <c r="W17" s="102" t="n">
        <f aca="false">IF(AND(19&gt;=$C17,19&lt;$C17+$D17),$B17/$D17,0)</f>
        <v>0</v>
      </c>
      <c r="X17" s="102" t="n">
        <f aca="false">IF(AND(20&gt;=$C17,20&lt;$C17+$D17),$B17/$D17,0)</f>
        <v>0</v>
      </c>
      <c r="Y17" s="102" t="n">
        <f aca="false">IF(AND(21&gt;=$C17,21&lt;$C17+$D17),$B17/$D17,0)</f>
        <v>0</v>
      </c>
      <c r="Z17" s="102" t="n">
        <f aca="false">IF(AND(22&gt;=$C17,22&lt;$C17+$D17),$B17/$D17,0)</f>
        <v>0</v>
      </c>
      <c r="AA17" s="102" t="n">
        <f aca="false">IF(AND(23&gt;=$C17,23&lt;$C17+$D17),$B17/$D17,0)</f>
        <v>0</v>
      </c>
      <c r="AB17" s="102" t="n">
        <f aca="false">IF(AND(24&gt;=$C17,24&lt;$C17+$D17),$B17/$D17,0)</f>
        <v>0</v>
      </c>
      <c r="AC17" s="102" t="n">
        <f aca="false">IF(AND(25&gt;=$C17,25&lt;$C17+$D17),$B17/$D17,0)</f>
        <v>0</v>
      </c>
      <c r="AD17" s="102" t="n">
        <f aca="false">IF(AND(26&gt;=$C17,26&lt;$C17+$D17),$B17/$D17,0)</f>
        <v>0</v>
      </c>
      <c r="AE17" s="102" t="n">
        <f aca="false">IF(AND(27&gt;=$C17,27&lt;$C17+$D17),$B17/$D17,0)</f>
        <v>0</v>
      </c>
      <c r="AF17" s="102" t="n">
        <f aca="false">IF(AND(28&gt;=$C17,28&lt;$C17+$D17),$B17/$D17,0)</f>
        <v>0</v>
      </c>
      <c r="AG17" s="102" t="n">
        <f aca="false">IF(AND(29&gt;=$C17,29&lt;$C17+$D17),$B17/$D17,0)</f>
        <v>0</v>
      </c>
      <c r="AH17" s="102" t="n">
        <f aca="false">IF(AND(30&gt;=$C17,30&lt;$C17+$D17),$B17/$D17,0)</f>
        <v>0</v>
      </c>
    </row>
    <row r="18" customFormat="false" ht="23.25" hidden="false" customHeight="true" outlineLevel="0" collapsed="false">
      <c r="A18" s="20" t="s">
        <v>42</v>
      </c>
      <c r="B18" s="101" t="n">
        <f aca="false">'RAB Borongan'!L65/'RAB Borongan'!L73</f>
        <v>0.131701680870511</v>
      </c>
      <c r="C18" s="78" t="n">
        <f aca="false">C17+D17</f>
        <v>18</v>
      </c>
      <c r="D18" s="78" t="n">
        <f aca="false">'Perhitungan Upah'!E166</f>
        <v>1</v>
      </c>
      <c r="E18" s="102" t="n">
        <f aca="false">IF(AND(1&gt;=$C18,1&lt;$C18+$D18),$B18/$D18,0)</f>
        <v>0</v>
      </c>
      <c r="F18" s="102" t="n">
        <f aca="false">IF(AND(2&gt;=$C18,2&lt;$C18+$D18),$B18/$D18,0)</f>
        <v>0</v>
      </c>
      <c r="G18" s="102" t="n">
        <f aca="false">IF(AND(3&gt;=$C18,3&lt;$C18+$D18),$B18/$D18,0)</f>
        <v>0</v>
      </c>
      <c r="H18" s="102" t="n">
        <f aca="false">IF(AND(4&gt;=$C18,4&lt;$C18+$D18),$B18/$D18,0)</f>
        <v>0</v>
      </c>
      <c r="I18" s="102" t="n">
        <f aca="false">IF(AND(5&gt;=$C18,5&lt;$C18+$D18),$B18/$D18,0)</f>
        <v>0</v>
      </c>
      <c r="J18" s="102" t="n">
        <f aca="false">IF(AND(6&gt;=$C18,6&lt;$C18+$D18),$B18/$D18,0)</f>
        <v>0</v>
      </c>
      <c r="K18" s="102" t="n">
        <f aca="false">IF(AND(7&gt;=$C18,7&lt;$C18+$D18),$B18/$D18,0)</f>
        <v>0</v>
      </c>
      <c r="L18" s="102" t="n">
        <f aca="false">IF(AND(8&gt;=$C18,8&lt;$C18+$D18),$B18/$D18,0)</f>
        <v>0</v>
      </c>
      <c r="M18" s="102" t="n">
        <f aca="false">IF(AND(9&gt;=$C18,9&lt;$C18+$D18),$B18/$D18,0)</f>
        <v>0</v>
      </c>
      <c r="N18" s="102" t="n">
        <f aca="false">IF(AND(10&gt;=$C18,10&lt;$C18+$D18),$B18/$D18,0)</f>
        <v>0</v>
      </c>
      <c r="O18" s="102" t="n">
        <f aca="false">IF(AND(11&gt;=$C18,11&lt;$C18+$D18),$B18/$D18,0)</f>
        <v>0</v>
      </c>
      <c r="P18" s="102" t="n">
        <f aca="false">IF(AND(12&gt;=$C18,12&lt;$C18+$D18),$B18/$D18,0)</f>
        <v>0</v>
      </c>
      <c r="Q18" s="102" t="n">
        <f aca="false">IF(AND(13&gt;=$C18,13&lt;$C18+$D18),$B18/$D18,0)</f>
        <v>0</v>
      </c>
      <c r="R18" s="102" t="n">
        <f aca="false">IF(AND(14&gt;=$C18,14&lt;$C18+$D18),$B18/$D18,0)</f>
        <v>0</v>
      </c>
      <c r="S18" s="102" t="n">
        <f aca="false">IF(AND(15&gt;=$C18,15&lt;$C18+$D18),$B18/$D18,0)</f>
        <v>0</v>
      </c>
      <c r="T18" s="102" t="n">
        <f aca="false">IF(AND(16&gt;=$C18,16&lt;$C18+$D18),$B18/$D18,0)</f>
        <v>0</v>
      </c>
      <c r="U18" s="102" t="n">
        <f aca="false">IF(AND(17&gt;=$C18,17&lt;$C18+$D18),$B18/$D18,0)</f>
        <v>0</v>
      </c>
      <c r="V18" s="102" t="n">
        <f aca="false">IF(AND(18&gt;=$C18,18&lt;$C18+$D18),$B18/$D18,0)</f>
        <v>0.131701680870511</v>
      </c>
      <c r="W18" s="102" t="n">
        <f aca="false">IF(AND(19&gt;=$C18,19&lt;$C18+$D18),$B18/$D18,0)</f>
        <v>0</v>
      </c>
      <c r="X18" s="102" t="n">
        <f aca="false">IF(AND(20&gt;=$C18,20&lt;$C18+$D18),$B18/$D18,0)</f>
        <v>0</v>
      </c>
      <c r="Y18" s="102" t="n">
        <f aca="false">IF(AND(21&gt;=$C18,21&lt;$C18+$D18),$B18/$D18,0)</f>
        <v>0</v>
      </c>
      <c r="Z18" s="102" t="n">
        <f aca="false">IF(AND(22&gt;=$C18,22&lt;$C18+$D18),$B18/$D18,0)</f>
        <v>0</v>
      </c>
      <c r="AA18" s="102" t="n">
        <f aca="false">IF(AND(23&gt;=$C18,23&lt;$C18+$D18),$B18/$D18,0)</f>
        <v>0</v>
      </c>
      <c r="AB18" s="102" t="n">
        <f aca="false">IF(AND(24&gt;=$C18,24&lt;$C18+$D18),$B18/$D18,0)</f>
        <v>0</v>
      </c>
      <c r="AC18" s="102" t="n">
        <f aca="false">IF(AND(25&gt;=$C18,25&lt;$C18+$D18),$B18/$D18,0)</f>
        <v>0</v>
      </c>
      <c r="AD18" s="102" t="n">
        <f aca="false">IF(AND(26&gt;=$C18,26&lt;$C18+$D18),$B18/$D18,0)</f>
        <v>0</v>
      </c>
      <c r="AE18" s="102" t="n">
        <f aca="false">IF(AND(27&gt;=$C18,27&lt;$C18+$D18),$B18/$D18,0)</f>
        <v>0</v>
      </c>
      <c r="AF18" s="102" t="n">
        <f aca="false">IF(AND(28&gt;=$C18,28&lt;$C18+$D18),$B18/$D18,0)</f>
        <v>0</v>
      </c>
      <c r="AG18" s="102" t="n">
        <f aca="false">IF(AND(29&gt;=$C18,29&lt;$C18+$D18),$B18/$D18,0)</f>
        <v>0</v>
      </c>
      <c r="AH18" s="102" t="n">
        <f aca="false">IF(AND(30&gt;=$C18,30&lt;$C18+$D18),$B18/$D18,0)</f>
        <v>0</v>
      </c>
    </row>
    <row r="19" customFormat="false" ht="15" hidden="false" customHeight="true" outlineLevel="0" collapsed="false">
      <c r="A19" s="52" t="s">
        <v>643</v>
      </c>
      <c r="B19" s="51"/>
      <c r="C19" s="51"/>
      <c r="D19" s="51"/>
      <c r="E19" s="103" t="n">
        <f aca="false">SUM(E6:E18)</f>
        <v>0.0202981074629016</v>
      </c>
      <c r="F19" s="103" t="n">
        <f aca="false">SUM(F6:F18)</f>
        <v>0.0443494744521362</v>
      </c>
      <c r="G19" s="103" t="n">
        <f aca="false">SUM(G6:G18)</f>
        <v>0.0443494744521362</v>
      </c>
      <c r="H19" s="103" t="n">
        <f aca="false">SUM(H6:H18)</f>
        <v>0.0757987361569228</v>
      </c>
      <c r="I19" s="103" t="n">
        <f aca="false">SUM(I6:I18)</f>
        <v>0.0340341248399431</v>
      </c>
      <c r="J19" s="103" t="n">
        <f aca="false">SUM(J6:J18)</f>
        <v>0.0340341248399431</v>
      </c>
      <c r="K19" s="103" t="n">
        <f aca="false">SUM(K6:K18)</f>
        <v>0.0340341248399431</v>
      </c>
      <c r="L19" s="103" t="n">
        <f aca="false">SUM(L6:L18)</f>
        <v>0.0340341248399431</v>
      </c>
      <c r="M19" s="103" t="n">
        <f aca="false">SUM(M6:M18)</f>
        <v>0.0340341248399431</v>
      </c>
      <c r="N19" s="103" t="n">
        <f aca="false">SUM(N6:N18)</f>
        <v>0.071734590073347</v>
      </c>
      <c r="O19" s="103" t="n">
        <f aca="false">SUM(O6:O18)</f>
        <v>0.071734590073347</v>
      </c>
      <c r="P19" s="103" t="n">
        <f aca="false">SUM(P6:P18)</f>
        <v>0.0200515776601397</v>
      </c>
      <c r="Q19" s="103" t="n">
        <f aca="false">SUM(Q6:Q18)</f>
        <v>0.0338266541408591</v>
      </c>
      <c r="R19" s="103" t="n">
        <f aca="false">SUM(R6:R18)</f>
        <v>0.0338266541408591</v>
      </c>
      <c r="S19" s="103" t="n">
        <f aca="false">SUM(S6:S18)</f>
        <v>0.0917309343989286</v>
      </c>
      <c r="T19" s="103" t="n">
        <f aca="false">SUM(T6:T18)</f>
        <v>0.168264955363859</v>
      </c>
      <c r="U19" s="103" t="n">
        <f aca="false">SUM(U6:U18)</f>
        <v>0.0221619465543368</v>
      </c>
      <c r="V19" s="103" t="n">
        <f aca="false">SUM(V6:V18)</f>
        <v>0.131701680870511</v>
      </c>
      <c r="W19" s="103" t="n">
        <f aca="false">SUM(W6:W18)</f>
        <v>0</v>
      </c>
      <c r="X19" s="103" t="n">
        <f aca="false">SUM(X6:X18)</f>
        <v>0</v>
      </c>
      <c r="Y19" s="103" t="n">
        <f aca="false">SUM(Y6:Y18)</f>
        <v>0</v>
      </c>
      <c r="Z19" s="103" t="n">
        <f aca="false">SUM(Z6:Z18)</f>
        <v>0</v>
      </c>
      <c r="AA19" s="103" t="n">
        <f aca="false">SUM(AA6:AA18)</f>
        <v>0</v>
      </c>
      <c r="AB19" s="103" t="n">
        <f aca="false">SUM(AB6:AB18)</f>
        <v>0</v>
      </c>
      <c r="AC19" s="103" t="n">
        <f aca="false">SUM(AC6:AC18)</f>
        <v>0</v>
      </c>
      <c r="AD19" s="103" t="n">
        <f aca="false">SUM(AD6:AD18)</f>
        <v>0</v>
      </c>
      <c r="AE19" s="103" t="n">
        <f aca="false">SUM(AE6:AE18)</f>
        <v>0</v>
      </c>
      <c r="AF19" s="103" t="n">
        <f aca="false">SUM(AF6:AF18)</f>
        <v>0</v>
      </c>
      <c r="AG19" s="103" t="n">
        <f aca="false">SUM(AG6:AG18)</f>
        <v>0</v>
      </c>
      <c r="AH19" s="103" t="n">
        <f aca="false">SUM(AH6:AH18)</f>
        <v>0</v>
      </c>
    </row>
    <row r="20" customFormat="false" ht="15" hidden="false" customHeight="true" outlineLevel="0" collapsed="false">
      <c r="A20" s="52" t="s">
        <v>644</v>
      </c>
      <c r="B20" s="51"/>
      <c r="C20" s="51"/>
      <c r="D20" s="51"/>
      <c r="E20" s="104" t="n">
        <f aca="false">E19</f>
        <v>0.0202981074629016</v>
      </c>
      <c r="F20" s="104" t="n">
        <f aca="false">E20+F19</f>
        <v>0.0646475819150378</v>
      </c>
      <c r="G20" s="104" t="n">
        <f aca="false">F20+G19</f>
        <v>0.108997056367174</v>
      </c>
      <c r="H20" s="104" t="n">
        <f aca="false">G20+H19</f>
        <v>0.184795792524097</v>
      </c>
      <c r="I20" s="104" t="n">
        <f aca="false">H20+I19</f>
        <v>0.21882991736404</v>
      </c>
      <c r="J20" s="104" t="n">
        <f aca="false">I20+J19</f>
        <v>0.252864042203983</v>
      </c>
      <c r="K20" s="104" t="n">
        <f aca="false">J20+K19</f>
        <v>0.286898167043926</v>
      </c>
      <c r="L20" s="104" t="n">
        <f aca="false">K20+L19</f>
        <v>0.320932291883869</v>
      </c>
      <c r="M20" s="104" t="n">
        <f aca="false">L20+M19</f>
        <v>0.354966416723812</v>
      </c>
      <c r="N20" s="104" t="n">
        <f aca="false">M20+N19</f>
        <v>0.426701006797159</v>
      </c>
      <c r="O20" s="104" t="n">
        <f aca="false">N20+O19</f>
        <v>0.498435596870506</v>
      </c>
      <c r="P20" s="104" t="n">
        <f aca="false">O20+P19</f>
        <v>0.518487174530646</v>
      </c>
      <c r="Q20" s="104" t="n">
        <f aca="false">P20+Q19</f>
        <v>0.552313828671505</v>
      </c>
      <c r="R20" s="104" t="n">
        <f aca="false">Q20+R19</f>
        <v>0.586140482812364</v>
      </c>
      <c r="S20" s="104" t="n">
        <f aca="false">R20+S19</f>
        <v>0.677871417211293</v>
      </c>
      <c r="T20" s="104" t="n">
        <f aca="false">S20+T19</f>
        <v>0.846136372575152</v>
      </c>
      <c r="U20" s="104" t="n">
        <f aca="false">T20+U19</f>
        <v>0.868298319129489</v>
      </c>
      <c r="V20" s="104" t="n">
        <f aca="false">U20+V19</f>
        <v>1</v>
      </c>
      <c r="W20" s="104" t="n">
        <f aca="false">V20+W19</f>
        <v>1</v>
      </c>
      <c r="X20" s="104" t="n">
        <f aca="false">W20+X19</f>
        <v>1</v>
      </c>
      <c r="Y20" s="104" t="n">
        <f aca="false">X20+Y19</f>
        <v>1</v>
      </c>
      <c r="Z20" s="104" t="n">
        <f aca="false">Y20+Z19</f>
        <v>1</v>
      </c>
      <c r="AA20" s="104" t="n">
        <f aca="false">Z20+AA19</f>
        <v>1</v>
      </c>
      <c r="AB20" s="104" t="n">
        <f aca="false">AA20+AB19</f>
        <v>1</v>
      </c>
      <c r="AC20" s="104" t="n">
        <f aca="false">AB20+AC19</f>
        <v>1</v>
      </c>
      <c r="AD20" s="104" t="n">
        <f aca="false">AC20+AD19</f>
        <v>1</v>
      </c>
      <c r="AE20" s="104" t="n">
        <f aca="false">AD20+AE19</f>
        <v>1</v>
      </c>
      <c r="AF20" s="104" t="n">
        <f aca="false">AE20+AF19</f>
        <v>1</v>
      </c>
      <c r="AG20" s="104" t="n">
        <f aca="false">AF20+AG19</f>
        <v>1</v>
      </c>
      <c r="AH20" s="104" t="n">
        <f aca="false">AG20+AH19</f>
        <v>1</v>
      </c>
    </row>
    <row r="22" customFormat="false" ht="15" hidden="false" customHeight="true" outlineLevel="0" collapsed="false">
      <c r="A22" s="27" t="s">
        <v>645</v>
      </c>
    </row>
    <row r="23" customFormat="false" ht="15" hidden="false" customHeight="true" outlineLevel="0" collapsed="false">
      <c r="A23" s="20" t="s">
        <v>30</v>
      </c>
      <c r="B23" s="24"/>
      <c r="C23" s="24"/>
      <c r="D23" s="24"/>
      <c r="E23" s="105" t="n">
        <v>1</v>
      </c>
      <c r="F23" s="105" t="n">
        <v>1</v>
      </c>
      <c r="G23" s="105" t="n">
        <v>1</v>
      </c>
      <c r="H23" s="105" t="n">
        <v>1</v>
      </c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</row>
    <row r="24" customFormat="false" ht="15" hidden="false" customHeight="true" outlineLevel="0" collapsed="false">
      <c r="A24" s="20" t="s">
        <v>31</v>
      </c>
      <c r="B24" s="24"/>
      <c r="C24" s="24"/>
      <c r="D24" s="24"/>
      <c r="E24" s="105" t="n">
        <v>0</v>
      </c>
      <c r="F24" s="105" t="n">
        <v>0.6</v>
      </c>
      <c r="G24" s="105" t="n">
        <v>1</v>
      </c>
      <c r="H24" s="105" t="n">
        <v>1</v>
      </c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</row>
    <row r="25" customFormat="false" ht="15" hidden="false" customHeight="true" outlineLevel="0" collapsed="false">
      <c r="A25" s="20" t="s">
        <v>32</v>
      </c>
      <c r="B25" s="24"/>
      <c r="C25" s="24"/>
      <c r="D25" s="24"/>
      <c r="E25" s="105" t="n">
        <v>0</v>
      </c>
      <c r="F25" s="105" t="n">
        <v>0</v>
      </c>
      <c r="G25" s="105" t="n">
        <v>0</v>
      </c>
      <c r="H25" s="105" t="n">
        <v>0.5</v>
      </c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</row>
    <row r="26" customFormat="false" ht="15" hidden="false" customHeight="true" outlineLevel="0" collapsed="false">
      <c r="A26" s="20" t="s">
        <v>33</v>
      </c>
      <c r="B26" s="24"/>
      <c r="C26" s="24"/>
      <c r="D26" s="24"/>
      <c r="E26" s="105" t="n">
        <v>0</v>
      </c>
      <c r="F26" s="105" t="n">
        <v>0</v>
      </c>
      <c r="G26" s="105" t="n">
        <v>0</v>
      </c>
      <c r="H26" s="105" t="n">
        <v>0</v>
      </c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</row>
    <row r="27" customFormat="false" ht="15" hidden="false" customHeight="true" outlineLevel="0" collapsed="false">
      <c r="A27" s="20" t="s">
        <v>34</v>
      </c>
      <c r="B27" s="24"/>
      <c r="C27" s="24"/>
      <c r="D27" s="24"/>
      <c r="E27" s="105" t="n">
        <v>0</v>
      </c>
      <c r="F27" s="105" t="n">
        <v>0</v>
      </c>
      <c r="G27" s="105" t="n">
        <v>0</v>
      </c>
      <c r="H27" s="105" t="n">
        <v>0</v>
      </c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</row>
    <row r="28" customFormat="false" ht="15" hidden="false" customHeight="true" outlineLevel="0" collapsed="false">
      <c r="A28" s="20" t="s">
        <v>35</v>
      </c>
      <c r="B28" s="24"/>
      <c r="C28" s="24"/>
      <c r="D28" s="24"/>
      <c r="E28" s="105" t="n">
        <v>0</v>
      </c>
      <c r="F28" s="105" t="n">
        <v>0</v>
      </c>
      <c r="G28" s="105" t="n">
        <v>0</v>
      </c>
      <c r="H28" s="105" t="n">
        <v>0</v>
      </c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</row>
    <row r="29" customFormat="false" ht="15" hidden="false" customHeight="true" outlineLevel="0" collapsed="false">
      <c r="A29" s="20" t="s">
        <v>36</v>
      </c>
      <c r="B29" s="24"/>
      <c r="C29" s="24"/>
      <c r="D29" s="24"/>
      <c r="E29" s="105" t="n">
        <v>0</v>
      </c>
      <c r="F29" s="105" t="n">
        <v>0</v>
      </c>
      <c r="G29" s="105" t="n">
        <v>0</v>
      </c>
      <c r="H29" s="105" t="n">
        <v>0</v>
      </c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</row>
    <row r="30" customFormat="false" ht="15" hidden="false" customHeight="true" outlineLevel="0" collapsed="false">
      <c r="A30" s="20" t="s">
        <v>37</v>
      </c>
      <c r="B30" s="24"/>
      <c r="C30" s="24"/>
      <c r="D30" s="24"/>
      <c r="E30" s="105" t="n">
        <v>0</v>
      </c>
      <c r="F30" s="105" t="n">
        <v>0</v>
      </c>
      <c r="G30" s="105" t="n">
        <v>0</v>
      </c>
      <c r="H30" s="105" t="n">
        <v>0</v>
      </c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</row>
    <row r="31" customFormat="false" ht="15" hidden="false" customHeight="true" outlineLevel="0" collapsed="false">
      <c r="A31" s="20" t="s">
        <v>38</v>
      </c>
      <c r="B31" s="24"/>
      <c r="C31" s="24"/>
      <c r="D31" s="24"/>
      <c r="E31" s="105" t="n">
        <v>0</v>
      </c>
      <c r="F31" s="105" t="n">
        <v>0</v>
      </c>
      <c r="G31" s="105" t="n">
        <v>0</v>
      </c>
      <c r="H31" s="105" t="n">
        <v>0</v>
      </c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</row>
    <row r="32" customFormat="false" ht="15" hidden="false" customHeight="true" outlineLevel="0" collapsed="false">
      <c r="A32" s="20" t="s">
        <v>39</v>
      </c>
      <c r="B32" s="24"/>
      <c r="C32" s="24"/>
      <c r="D32" s="24"/>
      <c r="E32" s="105" t="n">
        <v>0</v>
      </c>
      <c r="F32" s="105" t="n">
        <v>0</v>
      </c>
      <c r="G32" s="105" t="n">
        <v>0</v>
      </c>
      <c r="H32" s="105" t="n">
        <v>0</v>
      </c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</row>
    <row r="33" customFormat="false" ht="15" hidden="false" customHeight="true" outlineLevel="0" collapsed="false">
      <c r="A33" s="20" t="s">
        <v>40</v>
      </c>
      <c r="B33" s="24"/>
      <c r="C33" s="24"/>
      <c r="D33" s="24"/>
      <c r="E33" s="105" t="n">
        <v>0</v>
      </c>
      <c r="F33" s="105" t="n">
        <v>0</v>
      </c>
      <c r="G33" s="105" t="n">
        <v>0</v>
      </c>
      <c r="H33" s="105" t="n">
        <v>0</v>
      </c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</row>
    <row r="34" customFormat="false" ht="15" hidden="false" customHeight="true" outlineLevel="0" collapsed="false">
      <c r="A34" s="20" t="s">
        <v>41</v>
      </c>
      <c r="B34" s="24"/>
      <c r="C34" s="24"/>
      <c r="D34" s="24"/>
      <c r="E34" s="105" t="n">
        <v>0</v>
      </c>
      <c r="F34" s="105" t="n">
        <v>0</v>
      </c>
      <c r="G34" s="105" t="n">
        <v>0</v>
      </c>
      <c r="H34" s="105" t="n">
        <v>0</v>
      </c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</row>
    <row r="35" customFormat="false" ht="23.25" hidden="false" customHeight="true" outlineLevel="0" collapsed="false">
      <c r="A35" s="20" t="s">
        <v>42</v>
      </c>
      <c r="B35" s="24"/>
      <c r="C35" s="24"/>
      <c r="D35" s="24"/>
      <c r="E35" s="105" t="n">
        <v>0</v>
      </c>
      <c r="F35" s="105" t="n">
        <v>0</v>
      </c>
      <c r="G35" s="105" t="n">
        <v>0</v>
      </c>
      <c r="H35" s="105" t="n">
        <v>0</v>
      </c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</row>
    <row r="36" customFormat="false" ht="15" hidden="false" customHeight="true" outlineLevel="0" collapsed="false">
      <c r="A36" s="52" t="s">
        <v>646</v>
      </c>
      <c r="B36" s="51"/>
      <c r="C36" s="51"/>
      <c r="D36" s="51"/>
      <c r="E36" s="104" t="n">
        <f aca="false">IF(1&lt;=$B$3,SUMPRODUCT($B$6:$B$18,E23:E35),"")</f>
        <v>0.0202981074629016</v>
      </c>
      <c r="F36" s="104" t="n">
        <f aca="false">IF(2&lt;=$B$3,SUMPRODUCT($B$6:$B$18,F23:F35),"")</f>
        <v>0.073517476805465</v>
      </c>
      <c r="G36" s="104" t="n">
        <f aca="false">IF(3&lt;=$B$3,SUMPRODUCT($B$6:$B$18,G23:G35),"")</f>
        <v>0.108997056367174</v>
      </c>
      <c r="H36" s="104" t="n">
        <f aca="false">IF(4&lt;=$B$3,SUMPRODUCT($B$6:$B$18,H23:H35),"")</f>
        <v>0.146896424445635</v>
      </c>
      <c r="I36" s="104" t="str">
        <f aca="false">IF(5&lt;=$B$3,SUMPRODUCT($B$6:$B$18,I23:I35),"")</f>
        <v/>
      </c>
      <c r="J36" s="104" t="str">
        <f aca="false">IF(6&lt;=$B$3,SUMPRODUCT($B$6:$B$18,J23:J35),"")</f>
        <v/>
      </c>
      <c r="K36" s="104" t="str">
        <f aca="false">IF(7&lt;=$B$3,SUMPRODUCT($B$6:$B$18,K23:K35),"")</f>
        <v/>
      </c>
      <c r="L36" s="104" t="str">
        <f aca="false">IF(8&lt;=$B$3,SUMPRODUCT($B$6:$B$18,L23:L35),"")</f>
        <v/>
      </c>
      <c r="M36" s="104" t="str">
        <f aca="false">IF(9&lt;=$B$3,SUMPRODUCT($B$6:$B$18,M23:M35),"")</f>
        <v/>
      </c>
      <c r="N36" s="104" t="str">
        <f aca="false">IF(10&lt;=$B$3,SUMPRODUCT($B$6:$B$18,N23:N35),"")</f>
        <v/>
      </c>
      <c r="O36" s="104" t="str">
        <f aca="false">IF(11&lt;=$B$3,SUMPRODUCT($B$6:$B$18,O23:O35),"")</f>
        <v/>
      </c>
      <c r="P36" s="104" t="str">
        <f aca="false">IF(12&lt;=$B$3,SUMPRODUCT($B$6:$B$18,P23:P35),"")</f>
        <v/>
      </c>
      <c r="Q36" s="104" t="str">
        <f aca="false">IF(13&lt;=$B$3,SUMPRODUCT($B$6:$B$18,Q23:Q35),"")</f>
        <v/>
      </c>
      <c r="R36" s="104" t="str">
        <f aca="false">IF(14&lt;=$B$3,SUMPRODUCT($B$6:$B$18,R23:R35),"")</f>
        <v/>
      </c>
      <c r="S36" s="104" t="str">
        <f aca="false">IF(15&lt;=$B$3,SUMPRODUCT($B$6:$B$18,S23:S35),"")</f>
        <v/>
      </c>
      <c r="T36" s="104" t="str">
        <f aca="false">IF(16&lt;=$B$3,SUMPRODUCT($B$6:$B$18,T23:T35),"")</f>
        <v/>
      </c>
      <c r="U36" s="104" t="str">
        <f aca="false">IF(17&lt;=$B$3,SUMPRODUCT($B$6:$B$18,U23:U35),"")</f>
        <v/>
      </c>
      <c r="V36" s="104" t="str">
        <f aca="false">IF(18&lt;=$B$3,SUMPRODUCT($B$6:$B$18,V23:V35),"")</f>
        <v/>
      </c>
      <c r="W36" s="104" t="str">
        <f aca="false">IF(19&lt;=$B$3,SUMPRODUCT($B$6:$B$18,W23:W35),"")</f>
        <v/>
      </c>
      <c r="X36" s="104" t="str">
        <f aca="false">IF(20&lt;=$B$3,SUMPRODUCT($B$6:$B$18,X23:X35),"")</f>
        <v/>
      </c>
      <c r="Y36" s="104" t="str">
        <f aca="false">IF(21&lt;=$B$3,SUMPRODUCT($B$6:$B$18,Y23:Y35),"")</f>
        <v/>
      </c>
      <c r="Z36" s="104" t="str">
        <f aca="false">IF(22&lt;=$B$3,SUMPRODUCT($B$6:$B$18,Z23:Z35),"")</f>
        <v/>
      </c>
      <c r="AA36" s="104" t="str">
        <f aca="false">IF(23&lt;=$B$3,SUMPRODUCT($B$6:$B$18,AA23:AA35),"")</f>
        <v/>
      </c>
      <c r="AB36" s="104" t="str">
        <f aca="false">IF(24&lt;=$B$3,SUMPRODUCT($B$6:$B$18,AB23:AB35),"")</f>
        <v/>
      </c>
      <c r="AC36" s="104" t="str">
        <f aca="false">IF(25&lt;=$B$3,SUMPRODUCT($B$6:$B$18,AC23:AC35),"")</f>
        <v/>
      </c>
      <c r="AD36" s="104" t="str">
        <f aca="false">IF(26&lt;=$B$3,SUMPRODUCT($B$6:$B$18,AD23:AD35),"")</f>
        <v/>
      </c>
      <c r="AE36" s="104" t="str">
        <f aca="false">IF(27&lt;=$B$3,SUMPRODUCT($B$6:$B$18,AE23:AE35),"")</f>
        <v/>
      </c>
      <c r="AF36" s="104" t="str">
        <f aca="false">IF(28&lt;=$B$3,SUMPRODUCT($B$6:$B$18,AF23:AF35),"")</f>
        <v/>
      </c>
      <c r="AG36" s="104" t="str">
        <f aca="false">IF(29&lt;=$B$3,SUMPRODUCT($B$6:$B$18,AG23:AG35),"")</f>
        <v/>
      </c>
      <c r="AH36" s="104" t="str">
        <f aca="false">IF(30&lt;=$B$3,SUMPRODUCT($B$6:$B$18,AH23:AH35),"")</f>
        <v/>
      </c>
    </row>
    <row r="37" customFormat="false" ht="15" hidden="false" customHeight="true" outlineLevel="0" collapsed="false">
      <c r="A37" s="52" t="s">
        <v>647</v>
      </c>
      <c r="B37" s="51"/>
      <c r="C37" s="51"/>
      <c r="D37" s="51"/>
      <c r="E37" s="106" t="n">
        <f aca="false">IF(1&lt;=$B$3,E36-E20,"")</f>
        <v>0</v>
      </c>
      <c r="F37" s="106" t="n">
        <f aca="false">IF(2&lt;=$B$3,F36-F20,"")</f>
        <v>0.00886989489042724</v>
      </c>
      <c r="G37" s="106" t="n">
        <f aca="false">IF(3&lt;=$B$3,G36-G20,"")</f>
        <v>0</v>
      </c>
      <c r="H37" s="106" t="n">
        <f aca="false">IF(4&lt;=$B$3,H36-H20,"")</f>
        <v>-0.0378993680784614</v>
      </c>
      <c r="I37" s="106" t="str">
        <f aca="false">IF(5&lt;=$B$3,I36-I20,"")</f>
        <v/>
      </c>
      <c r="J37" s="106" t="str">
        <f aca="false">IF(6&lt;=$B$3,J36-J20,"")</f>
        <v/>
      </c>
      <c r="K37" s="106" t="str">
        <f aca="false">IF(7&lt;=$B$3,K36-K20,"")</f>
        <v/>
      </c>
      <c r="L37" s="106" t="str">
        <f aca="false">IF(8&lt;=$B$3,L36-L20,"")</f>
        <v/>
      </c>
      <c r="M37" s="106" t="str">
        <f aca="false">IF(9&lt;=$B$3,M36-M20,"")</f>
        <v/>
      </c>
      <c r="N37" s="106" t="str">
        <f aca="false">IF(10&lt;=$B$3,N36-N20,"")</f>
        <v/>
      </c>
      <c r="O37" s="106" t="str">
        <f aca="false">IF(11&lt;=$B$3,O36-O20,"")</f>
        <v/>
      </c>
      <c r="P37" s="106" t="str">
        <f aca="false">IF(12&lt;=$B$3,P36-P20,"")</f>
        <v/>
      </c>
      <c r="Q37" s="106" t="str">
        <f aca="false">IF(13&lt;=$B$3,Q36-Q20,"")</f>
        <v/>
      </c>
      <c r="R37" s="106" t="str">
        <f aca="false">IF(14&lt;=$B$3,R36-R20,"")</f>
        <v/>
      </c>
      <c r="S37" s="106" t="str">
        <f aca="false">IF(15&lt;=$B$3,S36-S20,"")</f>
        <v/>
      </c>
      <c r="T37" s="106" t="str">
        <f aca="false">IF(16&lt;=$B$3,T36-T20,"")</f>
        <v/>
      </c>
      <c r="U37" s="106" t="str">
        <f aca="false">IF(17&lt;=$B$3,U36-U20,"")</f>
        <v/>
      </c>
      <c r="V37" s="106" t="str">
        <f aca="false">IF(18&lt;=$B$3,V36-V20,"")</f>
        <v/>
      </c>
      <c r="W37" s="106" t="str">
        <f aca="false">IF(19&lt;=$B$3,W36-W20,"")</f>
        <v/>
      </c>
      <c r="X37" s="106" t="str">
        <f aca="false">IF(20&lt;=$B$3,X36-X20,"")</f>
        <v/>
      </c>
      <c r="Y37" s="106" t="str">
        <f aca="false">IF(21&lt;=$B$3,Y36-Y20,"")</f>
        <v/>
      </c>
      <c r="Z37" s="106" t="str">
        <f aca="false">IF(22&lt;=$B$3,Z36-Z20,"")</f>
        <v/>
      </c>
      <c r="AA37" s="106" t="str">
        <f aca="false">IF(23&lt;=$B$3,AA36-AA20,"")</f>
        <v/>
      </c>
      <c r="AB37" s="106" t="str">
        <f aca="false">IF(24&lt;=$B$3,AB36-AB20,"")</f>
        <v/>
      </c>
      <c r="AC37" s="106" t="str">
        <f aca="false">IF(25&lt;=$B$3,AC36-AC20,"")</f>
        <v/>
      </c>
      <c r="AD37" s="106" t="str">
        <f aca="false">IF(26&lt;=$B$3,AD36-AD20,"")</f>
        <v/>
      </c>
      <c r="AE37" s="106" t="str">
        <f aca="false">IF(27&lt;=$B$3,AE36-AE20,"")</f>
        <v/>
      </c>
      <c r="AF37" s="106" t="str">
        <f aca="false">IF(28&lt;=$B$3,AF36-AF20,"")</f>
        <v/>
      </c>
      <c r="AG37" s="106" t="str">
        <f aca="false">IF(29&lt;=$B$3,AG36-AG20,"")</f>
        <v/>
      </c>
      <c r="AH37" s="106" t="str">
        <f aca="false">IF(30&lt;=$B$3,AH36-AH20,"")</f>
        <v/>
      </c>
    </row>
    <row r="38" customFormat="false" ht="113.25" hidden="false" customHeight="true" outlineLevel="0" collapsed="false">
      <c r="A38" s="25" t="s">
        <v>648</v>
      </c>
      <c r="B38" s="25" t="str">
        <f aca="false">IF(INDEX(E37:AH37,$B$3)&lt;-0.05,"TERLAMBAT",IF(INDEX(E37:AH37,$B$3)&gt;0.05,"LEBIH CEPAT","SESUAI RENCANA"))</f>
        <v>SESUAI RENCANA</v>
      </c>
      <c r="C38" s="24"/>
      <c r="D38" s="23" t="s">
        <v>649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</sheetData>
  <conditionalFormatting sqref="E6:AH18">
    <cfRule type="cellIs" priority="2" operator="greaterThan" aboveAverage="0" equalAverage="0" bottom="0" percent="0" rank="0" text="" dxfId="4">
      <formula>0</formula>
    </cfRule>
  </conditionalFormatting>
  <conditionalFormatting sqref="B38">
    <cfRule type="cellIs" priority="3" operator="equal" aboveAverage="0" equalAverage="0" bottom="0" percent="0" rank="0" text="" dxfId="5">
      <formula>"TERLAMBAT"</formula>
    </cfRule>
    <cfRule type="cellIs" priority="4" operator="equal" aboveAverage="0" equalAverage="0" bottom="0" percent="0" rank="0" text="" dxfId="6">
      <formula>"SESUAI RENCANA"</formula>
    </cfRule>
    <cfRule type="cellIs" priority="5" operator="equal" aboveAverage="0" equalAverage="0" bottom="0" percent="0" rank="0" text="" dxfId="7">
      <formula>"LEBIH CEPAT"</formula>
    </cfRule>
  </conditionalFormatting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8.61"/>
    <col collapsed="false" customWidth="true" hidden="false" outlineLevel="0" max="4" min="4" style="1" width="70"/>
  </cols>
  <sheetData>
    <row r="1" customFormat="false" ht="25.5" hidden="false" customHeight="true" outlineLevel="0" collapsed="false">
      <c r="A1" s="2" t="s">
        <v>650</v>
      </c>
    </row>
    <row r="2" customFormat="false" ht="18" hidden="false" customHeight="true" outlineLevel="0" collapsed="false">
      <c r="A2" s="3" t="s">
        <v>651</v>
      </c>
    </row>
    <row r="4" customFormat="false" ht="30" hidden="false" customHeight="true" outlineLevel="0" collapsed="false">
      <c r="A4" s="5" t="s">
        <v>652</v>
      </c>
      <c r="B4" s="5" t="s">
        <v>653</v>
      </c>
      <c r="C4" s="5" t="s">
        <v>285</v>
      </c>
      <c r="D4" s="5" t="s">
        <v>654</v>
      </c>
    </row>
    <row r="5" customFormat="false" ht="15" hidden="false" customHeight="true" outlineLevel="0" collapsed="false">
      <c r="A5" s="35" t="s">
        <v>655</v>
      </c>
      <c r="B5" s="35"/>
      <c r="C5" s="35"/>
      <c r="D5" s="35"/>
    </row>
    <row r="6" customFormat="false" ht="15" hidden="false" customHeight="true" outlineLevel="0" collapsed="false">
      <c r="A6" s="20" t="s">
        <v>656</v>
      </c>
      <c r="B6" s="107" t="n">
        <v>6</v>
      </c>
      <c r="C6" s="37" t="s">
        <v>400</v>
      </c>
      <c r="D6" s="20"/>
    </row>
    <row r="7" customFormat="false" ht="15" hidden="false" customHeight="true" outlineLevel="0" collapsed="false">
      <c r="A7" s="42" t="s">
        <v>657</v>
      </c>
      <c r="B7" s="107" t="n">
        <v>6</v>
      </c>
      <c r="C7" s="41" t="s">
        <v>400</v>
      </c>
      <c r="D7" s="42"/>
    </row>
    <row r="8" customFormat="false" ht="15" hidden="false" customHeight="true" outlineLevel="0" collapsed="false">
      <c r="A8" s="20" t="s">
        <v>658</v>
      </c>
      <c r="B8" s="107" t="n">
        <v>3.2</v>
      </c>
      <c r="C8" s="37" t="s">
        <v>400</v>
      </c>
      <c r="D8" s="20"/>
    </row>
    <row r="9" customFormat="false" ht="15" hidden="false" customHeight="true" outlineLevel="0" collapsed="false">
      <c r="A9" s="42" t="s">
        <v>659</v>
      </c>
      <c r="B9" s="107" t="n">
        <v>10.5</v>
      </c>
      <c r="C9" s="41" t="s">
        <v>400</v>
      </c>
      <c r="D9" s="42" t="s">
        <v>660</v>
      </c>
    </row>
    <row r="10" customFormat="false" ht="23.25" hidden="false" customHeight="true" outlineLevel="0" collapsed="false">
      <c r="A10" s="20" t="s">
        <v>661</v>
      </c>
      <c r="B10" s="107" t="n">
        <v>14.29</v>
      </c>
      <c r="C10" s="37" t="s">
        <v>81</v>
      </c>
      <c r="D10" s="20" t="s">
        <v>662</v>
      </c>
    </row>
    <row r="11" customFormat="false" ht="15" hidden="false" customHeight="true" outlineLevel="0" collapsed="false">
      <c r="A11" s="42" t="s">
        <v>663</v>
      </c>
      <c r="B11" s="107" t="n">
        <v>9.3</v>
      </c>
      <c r="C11" s="41" t="s">
        <v>400</v>
      </c>
      <c r="D11" s="42" t="s">
        <v>664</v>
      </c>
    </row>
    <row r="12" customFormat="false" ht="15" hidden="false" customHeight="true" outlineLevel="0" collapsed="false">
      <c r="A12" s="20" t="s">
        <v>665</v>
      </c>
      <c r="B12" s="107" t="n">
        <v>10</v>
      </c>
      <c r="C12" s="37" t="s">
        <v>181</v>
      </c>
      <c r="D12" s="20"/>
    </row>
    <row r="13" customFormat="false" ht="15" hidden="false" customHeight="true" outlineLevel="0" collapsed="false">
      <c r="A13" s="42" t="s">
        <v>666</v>
      </c>
      <c r="B13" s="100" t="n">
        <v>30</v>
      </c>
      <c r="C13" s="41" t="s">
        <v>667</v>
      </c>
      <c r="D13" s="42" t="s">
        <v>668</v>
      </c>
    </row>
    <row r="14" customFormat="false" ht="15" hidden="false" customHeight="true" outlineLevel="0" collapsed="false">
      <c r="A14" s="20" t="s">
        <v>669</v>
      </c>
      <c r="B14" s="107" t="n">
        <v>0.6</v>
      </c>
      <c r="C14" s="37" t="s">
        <v>400</v>
      </c>
      <c r="D14" s="20"/>
    </row>
    <row r="15" customFormat="false" ht="15" hidden="false" customHeight="true" outlineLevel="0" collapsed="false">
      <c r="A15" s="42" t="s">
        <v>670</v>
      </c>
      <c r="B15" s="100" t="n">
        <v>12</v>
      </c>
      <c r="C15" s="41" t="s">
        <v>181</v>
      </c>
      <c r="D15" s="42" t="s">
        <v>671</v>
      </c>
    </row>
    <row r="16" customFormat="false" ht="15" hidden="false" customHeight="true" outlineLevel="0" collapsed="false">
      <c r="A16" s="20" t="s">
        <v>672</v>
      </c>
      <c r="B16" s="107" t="n">
        <v>4.5</v>
      </c>
      <c r="C16" s="37" t="s">
        <v>81</v>
      </c>
      <c r="D16" s="20" t="s">
        <v>673</v>
      </c>
    </row>
    <row r="17" customFormat="false" ht="15" hidden="false" customHeight="true" outlineLevel="0" collapsed="false">
      <c r="A17" s="42" t="s">
        <v>674</v>
      </c>
      <c r="B17" s="107" t="n">
        <v>15</v>
      </c>
      <c r="C17" s="41" t="s">
        <v>81</v>
      </c>
      <c r="D17" s="42" t="s">
        <v>675</v>
      </c>
    </row>
    <row r="18" customFormat="false" ht="15" hidden="false" customHeight="true" outlineLevel="0" collapsed="false">
      <c r="A18" s="20" t="s">
        <v>676</v>
      </c>
      <c r="B18" s="107" t="n">
        <v>6</v>
      </c>
      <c r="C18" s="37" t="s">
        <v>400</v>
      </c>
      <c r="D18" s="20"/>
    </row>
    <row r="19" customFormat="false" ht="15" hidden="false" customHeight="true" outlineLevel="0" collapsed="false">
      <c r="A19" s="42" t="s">
        <v>677</v>
      </c>
      <c r="B19" s="107" t="n">
        <v>3</v>
      </c>
      <c r="C19" s="41" t="s">
        <v>400</v>
      </c>
      <c r="D19" s="42" t="s">
        <v>678</v>
      </c>
    </row>
    <row r="20" customFormat="false" ht="15" hidden="false" customHeight="true" outlineLevel="0" collapsed="false">
      <c r="A20" s="20" t="s">
        <v>679</v>
      </c>
      <c r="B20" s="107" t="n">
        <v>3</v>
      </c>
      <c r="C20" s="37" t="s">
        <v>81</v>
      </c>
      <c r="D20" s="20" t="s">
        <v>680</v>
      </c>
    </row>
    <row r="21" customFormat="false" ht="15" hidden="false" customHeight="true" outlineLevel="0" collapsed="false">
      <c r="A21" s="42" t="s">
        <v>681</v>
      </c>
      <c r="B21" s="107" t="n">
        <v>15.4</v>
      </c>
      <c r="C21" s="41" t="s">
        <v>81</v>
      </c>
      <c r="D21" s="42" t="s">
        <v>682</v>
      </c>
    </row>
    <row r="22" customFormat="false" ht="15" hidden="false" customHeight="true" outlineLevel="0" collapsed="false">
      <c r="A22" s="35" t="s">
        <v>683</v>
      </c>
      <c r="B22" s="35"/>
      <c r="C22" s="35"/>
      <c r="D22" s="35"/>
    </row>
    <row r="23" customFormat="false" ht="15" hidden="false" customHeight="true" outlineLevel="0" collapsed="false">
      <c r="A23" s="20" t="s">
        <v>684</v>
      </c>
      <c r="B23" s="108" t="n">
        <f aca="false">Volume!$B$6*Volume!$B$7</f>
        <v>36</v>
      </c>
      <c r="C23" s="37" t="s">
        <v>81</v>
      </c>
      <c r="D23" s="20"/>
    </row>
    <row r="24" customFormat="false" ht="15" hidden="false" customHeight="true" outlineLevel="0" collapsed="false">
      <c r="A24" s="42" t="s">
        <v>685</v>
      </c>
      <c r="B24" s="109" t="n">
        <f aca="false">2*(Volume!$B$6+Volume!$B$7)</f>
        <v>24</v>
      </c>
      <c r="C24" s="41" t="s">
        <v>400</v>
      </c>
      <c r="D24" s="42"/>
    </row>
    <row r="25" customFormat="false" ht="15" hidden="false" customHeight="true" outlineLevel="0" collapsed="false">
      <c r="A25" s="20" t="s">
        <v>686</v>
      </c>
      <c r="B25" s="108" t="n">
        <f aca="false">Volume!$B$24+Volume!$B$9</f>
        <v>34.5</v>
      </c>
      <c r="C25" s="37" t="s">
        <v>400</v>
      </c>
      <c r="D25" s="20"/>
    </row>
    <row r="26" customFormat="false" ht="15" hidden="false" customHeight="true" outlineLevel="0" collapsed="false">
      <c r="A26" s="42" t="s">
        <v>687</v>
      </c>
      <c r="B26" s="109" t="n">
        <f aca="false">2*0.5*Volume!$B$6*(Volume!$B$6/2)*TAN(RADIANS(Volume!$B$13))</f>
        <v>10.3923048454133</v>
      </c>
      <c r="C26" s="41" t="s">
        <v>81</v>
      </c>
      <c r="D26" s="42"/>
    </row>
    <row r="27" customFormat="false" ht="15" hidden="false" customHeight="true" outlineLevel="0" collapsed="false">
      <c r="A27" s="20" t="s">
        <v>688</v>
      </c>
      <c r="B27" s="108" t="n">
        <f aca="false">Volume!$B$25*Volume!$B$8-Volume!$B$10+Volume!$B$26</f>
        <v>106.502304845413</v>
      </c>
      <c r="C27" s="37" t="s">
        <v>81</v>
      </c>
      <c r="D27" s="20"/>
    </row>
    <row r="28" customFormat="false" ht="15" hidden="false" customHeight="true" outlineLevel="0" collapsed="false">
      <c r="A28" s="42" t="s">
        <v>689</v>
      </c>
      <c r="B28" s="109" t="n">
        <f aca="false">2*(Volume!$B$25*Volume!$B$8-Volume!$B$10)+Volume!$B$26</f>
        <v>202.612304845413</v>
      </c>
      <c r="C28" s="41" t="s">
        <v>81</v>
      </c>
      <c r="D28" s="42"/>
    </row>
    <row r="29" customFormat="false" ht="15" hidden="false" customHeight="true" outlineLevel="0" collapsed="false">
      <c r="A29" s="20" t="s">
        <v>690</v>
      </c>
      <c r="B29" s="108" t="n">
        <f aca="false">Volume!$B$24*Volume!$B$8-Volume!$B$10*0.7+Volume!$B$26</f>
        <v>77.1893048454133</v>
      </c>
      <c r="C29" s="37" t="s">
        <v>81</v>
      </c>
      <c r="D29" s="20" t="s">
        <v>691</v>
      </c>
    </row>
    <row r="30" customFormat="false" ht="15" hidden="false" customHeight="true" outlineLevel="0" collapsed="false">
      <c r="A30" s="42" t="s">
        <v>692</v>
      </c>
      <c r="B30" s="109" t="n">
        <f aca="false">Volume!$B$28-Volume!$B$29</f>
        <v>125.423</v>
      </c>
      <c r="C30" s="41" t="s">
        <v>81</v>
      </c>
      <c r="D30" s="42"/>
    </row>
    <row r="31" customFormat="false" ht="15" hidden="false" customHeight="true" outlineLevel="0" collapsed="false">
      <c r="A31" s="20" t="s">
        <v>693</v>
      </c>
      <c r="B31" s="108" t="n">
        <f aca="false">Volume!$B$25*0.9*0.8</f>
        <v>24.84</v>
      </c>
      <c r="C31" s="37" t="s">
        <v>93</v>
      </c>
      <c r="D31" s="20"/>
    </row>
    <row r="32" customFormat="false" ht="15" hidden="false" customHeight="true" outlineLevel="0" collapsed="false">
      <c r="A32" s="42" t="s">
        <v>694</v>
      </c>
      <c r="B32" s="109" t="n">
        <f aca="false">Volume!$B$25*0.9*0.05</f>
        <v>1.5525</v>
      </c>
      <c r="C32" s="41" t="s">
        <v>93</v>
      </c>
      <c r="D32" s="42"/>
    </row>
    <row r="33" customFormat="false" ht="15" hidden="false" customHeight="true" outlineLevel="0" collapsed="false">
      <c r="A33" s="20" t="s">
        <v>695</v>
      </c>
      <c r="B33" s="108" t="n">
        <f aca="false">Volume!$B$25*(0.3+0.7)/2*0.6</f>
        <v>10.35</v>
      </c>
      <c r="C33" s="37" t="s">
        <v>93</v>
      </c>
      <c r="D33" s="20"/>
    </row>
    <row r="34" customFormat="false" ht="15" hidden="false" customHeight="true" outlineLevel="0" collapsed="false">
      <c r="A34" s="42" t="s">
        <v>99</v>
      </c>
      <c r="B34" s="109" t="n">
        <f aca="false">Volume!$B$31-Volume!$B$32-Volume!$B$33</f>
        <v>12.9375</v>
      </c>
      <c r="C34" s="41" t="s">
        <v>93</v>
      </c>
      <c r="D34" s="42"/>
    </row>
    <row r="35" customFormat="false" ht="15" hidden="false" customHeight="true" outlineLevel="0" collapsed="false">
      <c r="A35" s="20" t="s">
        <v>696</v>
      </c>
      <c r="B35" s="108" t="n">
        <f aca="false">(Volume!$B$23+Volume!$B$16)*0.1</f>
        <v>4.05</v>
      </c>
      <c r="C35" s="37" t="s">
        <v>93</v>
      </c>
      <c r="D35" s="20"/>
    </row>
    <row r="36" customFormat="false" ht="15" hidden="false" customHeight="true" outlineLevel="0" collapsed="false">
      <c r="A36" s="42" t="s">
        <v>697</v>
      </c>
      <c r="B36" s="109" t="n">
        <f aca="false">(Volume!$B$23+Volume!$B$16)*0.05</f>
        <v>2.025</v>
      </c>
      <c r="C36" s="41" t="s">
        <v>93</v>
      </c>
      <c r="D36" s="42"/>
    </row>
    <row r="37" customFormat="false" ht="15" hidden="false" customHeight="true" outlineLevel="0" collapsed="false">
      <c r="A37" s="20" t="s">
        <v>698</v>
      </c>
      <c r="B37" s="108" t="n">
        <f aca="false">Volume!$B$25*0.15*0.2</f>
        <v>1.035</v>
      </c>
      <c r="C37" s="37" t="s">
        <v>93</v>
      </c>
      <c r="D37" s="20"/>
    </row>
    <row r="38" customFormat="false" ht="15" hidden="false" customHeight="true" outlineLevel="0" collapsed="false">
      <c r="A38" s="42" t="s">
        <v>699</v>
      </c>
      <c r="B38" s="109" t="n">
        <f aca="false">Volume!$B$15*0.15*0.15*Volume!$B$8</f>
        <v>0.864</v>
      </c>
      <c r="C38" s="41" t="s">
        <v>93</v>
      </c>
      <c r="D38" s="42"/>
    </row>
    <row r="39" customFormat="false" ht="15" hidden="false" customHeight="true" outlineLevel="0" collapsed="false">
      <c r="A39" s="20" t="s">
        <v>700</v>
      </c>
      <c r="B39" s="108" t="n">
        <f aca="false">Volume!$B$25*0.12*0.15</f>
        <v>0.621</v>
      </c>
      <c r="C39" s="37" t="s">
        <v>93</v>
      </c>
      <c r="D39" s="20"/>
    </row>
    <row r="40" customFormat="false" ht="15" hidden="false" customHeight="true" outlineLevel="0" collapsed="false">
      <c r="A40" s="42" t="s">
        <v>701</v>
      </c>
      <c r="B40" s="109" t="n">
        <f aca="false">(Volume!$B$11+0.2*Volume!$B$12)*0.12*0.12</f>
        <v>0.16272</v>
      </c>
      <c r="C40" s="41" t="s">
        <v>93</v>
      </c>
      <c r="D40" s="42"/>
    </row>
    <row r="41" customFormat="false" ht="15" hidden="false" customHeight="true" outlineLevel="0" collapsed="false">
      <c r="A41" s="20" t="s">
        <v>702</v>
      </c>
      <c r="B41" s="108" t="n">
        <f aca="false">2*2*(Volume!$B$6/2/COS(RADIANS(Volume!$B$13)))*0.12*0.12</f>
        <v>0.199532253031935</v>
      </c>
      <c r="C41" s="37" t="s">
        <v>93</v>
      </c>
      <c r="D41" s="20"/>
    </row>
    <row r="42" customFormat="false" ht="15" hidden="false" customHeight="true" outlineLevel="0" collapsed="false">
      <c r="A42" s="42" t="s">
        <v>703</v>
      </c>
      <c r="B42" s="109" t="n">
        <f aca="false">(Volume!$B$6+2*Volume!$B$14)*(Volume!$B$7+2*Volume!$B$14)/COS(RADIANS(Volume!$B$13))</f>
        <v>59.8596759095804</v>
      </c>
      <c r="C42" s="41" t="s">
        <v>81</v>
      </c>
      <c r="D42" s="42"/>
    </row>
    <row r="43" customFormat="false" ht="15" hidden="false" customHeight="true" outlineLevel="0" collapsed="false">
      <c r="A43" s="20" t="s">
        <v>704</v>
      </c>
      <c r="B43" s="108" t="n">
        <f aca="false">2*(Volume!$B$7+2*Volume!$B$14)+4*((Volume!$B$6+2*Volume!$B$14)/2/COS(RADIANS(Volume!$B$13)))</f>
        <v>31.0276877526612</v>
      </c>
      <c r="C43" s="37" t="s">
        <v>131</v>
      </c>
      <c r="D43" s="20"/>
    </row>
    <row r="44" customFormat="false" ht="15" hidden="false" customHeight="true" outlineLevel="0" collapsed="false">
      <c r="A44" s="42" t="s">
        <v>705</v>
      </c>
      <c r="B44" s="109" t="n">
        <f aca="false">Volume!$B$23-Volume!$B$20-Volume!$B$25*0.1</f>
        <v>29.55</v>
      </c>
      <c r="C44" s="41" t="s">
        <v>81</v>
      </c>
      <c r="D44" s="42"/>
    </row>
    <row r="45" customFormat="false" ht="15" hidden="false" customHeight="true" outlineLevel="0" collapsed="false">
      <c r="A45" s="20" t="s">
        <v>706</v>
      </c>
      <c r="B45" s="108" t="n">
        <f aca="false">2*Volume!$B$25-Volume!$B$12*0.8</f>
        <v>61</v>
      </c>
      <c r="C45" s="37" t="s">
        <v>131</v>
      </c>
      <c r="D45" s="20"/>
    </row>
    <row r="46" customFormat="false" ht="15" hidden="false" customHeight="true" outlineLevel="0" collapsed="false">
      <c r="A46" s="42" t="s">
        <v>707</v>
      </c>
      <c r="B46" s="109" t="n">
        <f aca="false">Volume!$B$23+Volume!$B$16</f>
        <v>40.5</v>
      </c>
      <c r="C46" s="41" t="s">
        <v>81</v>
      </c>
      <c r="D46" s="42"/>
    </row>
    <row r="47" customFormat="false" ht="15" hidden="false" customHeight="true" outlineLevel="0" collapsed="false">
      <c r="A47" s="20" t="s">
        <v>708</v>
      </c>
      <c r="B47" s="108" t="n">
        <f aca="false">(Volume!$B$18-Volume!$B$19)*1.2</f>
        <v>3.6</v>
      </c>
      <c r="C47" s="37" t="s">
        <v>81</v>
      </c>
      <c r="D47" s="20" t="s">
        <v>709</v>
      </c>
    </row>
    <row r="48" customFormat="false" ht="15" hidden="false" customHeight="true" outlineLevel="0" collapsed="false">
      <c r="A48" s="42" t="s">
        <v>710</v>
      </c>
      <c r="B48" s="109" t="n">
        <f aca="false">Volume!$B$18*0.6</f>
        <v>3.6</v>
      </c>
      <c r="C48" s="41" t="s">
        <v>81</v>
      </c>
      <c r="D48" s="42" t="s">
        <v>711</v>
      </c>
    </row>
    <row r="49" customFormat="false" ht="15" hidden="false" customHeight="true" outlineLevel="0" collapsed="false">
      <c r="A49" s="20" t="s">
        <v>220</v>
      </c>
      <c r="B49" s="108" t="n">
        <f aca="false">Volume!$B$19*1.8</f>
        <v>5.4</v>
      </c>
      <c r="C49" s="37" t="s">
        <v>81</v>
      </c>
      <c r="D49" s="20" t="s">
        <v>712</v>
      </c>
    </row>
    <row r="50" customFormat="false" ht="15" hidden="false" customHeight="true" outlineLevel="0" collapsed="false">
      <c r="A50" s="42" t="s">
        <v>713</v>
      </c>
      <c r="B50" s="109" t="n">
        <f aca="false">Volume!$B$7+2*Volume!$B$14</f>
        <v>7.2</v>
      </c>
      <c r="C50" s="41" t="s">
        <v>131</v>
      </c>
      <c r="D50" s="42"/>
    </row>
    <row r="51" customFormat="false" ht="15" hidden="false" customHeight="true" outlineLevel="0" collapsed="false">
      <c r="A51" s="20" t="s">
        <v>714</v>
      </c>
      <c r="B51" s="108" t="n">
        <f aca="false">Volume!$B$30+Volume!$B$46</f>
        <v>165.923</v>
      </c>
      <c r="C51" s="37" t="s">
        <v>81</v>
      </c>
      <c r="D51" s="20"/>
    </row>
  </sheetData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86"/>
  </cols>
  <sheetData>
    <row r="1" customFormat="false" ht="25.5" hidden="false" customHeight="true" outlineLevel="0" collapsed="false">
      <c r="A1" s="2" t="s">
        <v>715</v>
      </c>
    </row>
    <row r="3" customFormat="false" ht="30" hidden="false" customHeight="true" outlineLevel="0" collapsed="false">
      <c r="A3" s="5" t="s">
        <v>716</v>
      </c>
      <c r="B3" s="5" t="s">
        <v>653</v>
      </c>
      <c r="C3" s="5" t="s">
        <v>74</v>
      </c>
    </row>
    <row r="4" customFormat="false" ht="23.25" hidden="false" customHeight="true" outlineLevel="0" collapsed="false">
      <c r="A4" s="20" t="s">
        <v>717</v>
      </c>
      <c r="B4" s="105" t="n">
        <v>0.15</v>
      </c>
      <c r="C4" s="20" t="s">
        <v>718</v>
      </c>
    </row>
    <row r="5" customFormat="false" ht="15" hidden="false" customHeight="true" outlineLevel="0" collapsed="false">
      <c r="A5" s="42" t="s">
        <v>719</v>
      </c>
      <c r="B5" s="105" t="n">
        <v>0.1</v>
      </c>
      <c r="C5" s="42" t="s">
        <v>720</v>
      </c>
    </row>
    <row r="6" customFormat="false" ht="15" hidden="false" customHeight="true" outlineLevel="0" collapsed="false">
      <c r="A6" s="20" t="s">
        <v>721</v>
      </c>
      <c r="B6" s="105" t="n">
        <v>0.05</v>
      </c>
      <c r="C6" s="20" t="s">
        <v>722</v>
      </c>
    </row>
    <row r="7" customFormat="false" ht="15" hidden="false" customHeight="true" outlineLevel="0" collapsed="false">
      <c r="A7" s="42" t="s">
        <v>723</v>
      </c>
      <c r="B7" s="105" t="n">
        <v>0.03</v>
      </c>
      <c r="C7" s="42" t="s">
        <v>724</v>
      </c>
    </row>
    <row r="8" customFormat="false" ht="15" hidden="false" customHeight="true" outlineLevel="0" collapsed="false">
      <c r="A8" s="20" t="s">
        <v>725</v>
      </c>
      <c r="B8" s="100" t="n">
        <v>0</v>
      </c>
      <c r="C8" s="20" t="s">
        <v>726</v>
      </c>
    </row>
    <row r="9" customFormat="false" ht="15" hidden="false" customHeight="true" outlineLevel="0" collapsed="false">
      <c r="A9" s="42" t="s">
        <v>727</v>
      </c>
      <c r="B9" s="105" t="n">
        <v>0.11</v>
      </c>
      <c r="C9" s="42" t="s">
        <v>728</v>
      </c>
    </row>
    <row r="10" customFormat="false" ht="15" hidden="false" customHeight="true" outlineLevel="0" collapsed="false">
      <c r="A10" s="20" t="s">
        <v>729</v>
      </c>
      <c r="B10" s="110" t="n">
        <v>0.022</v>
      </c>
      <c r="C10" s="20" t="s">
        <v>730</v>
      </c>
    </row>
    <row r="11" customFormat="false" ht="15" hidden="false" customHeight="true" outlineLevel="0" collapsed="false">
      <c r="A11" s="42" t="s">
        <v>731</v>
      </c>
      <c r="B11" s="100" t="n">
        <v>5</v>
      </c>
      <c r="C11" s="42" t="s">
        <v>732</v>
      </c>
    </row>
    <row r="14" customFormat="false" ht="15" hidden="false" customHeight="true" outlineLevel="0" collapsed="false">
      <c r="A14" s="27" t="s">
        <v>733</v>
      </c>
    </row>
    <row r="15" customFormat="false" ht="15" hidden="false" customHeight="true" outlineLevel="0" collapsed="false">
      <c r="A15" s="20" t="s">
        <v>734</v>
      </c>
      <c r="B15" s="111" t="s">
        <v>244</v>
      </c>
      <c r="C15" s="20" t="s">
        <v>735</v>
      </c>
    </row>
    <row r="16" customFormat="false" ht="15" hidden="false" customHeight="true" outlineLevel="0" collapsed="false">
      <c r="A16" s="59" t="s">
        <v>736</v>
      </c>
    </row>
  </sheetData>
  <dataValidations count="1">
    <dataValidation allowBlank="false" errorStyle="stop" operator="between" showDropDown="false" showErrorMessage="false" showInputMessage="false" sqref="B15" type="list">
      <formula1>"Sederhana,Menengah,Mewah"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Buildora · RAB Tipe 36/72</oddHeader>
    <oddFooter>&amp;C&amp;8 &amp;A — 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2026-10-02T10:57:18Z</dcterms:created>
  <dc:creator>openpyxl</dc:creator>
  <dc:description/>
  <dc:language>en-US</dc:language>
  <cp:lastModifiedBy/>
  <dcterms:modified xsi:type="dcterms:W3CDTF">2026-10-02T10:57:23Z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